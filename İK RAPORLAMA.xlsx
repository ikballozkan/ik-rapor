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ml.chartshapes+xml"/>
  <Override PartName="/xl/charts/chart14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drawings/drawing12.xml" ContentType="application/vnd.openxmlformats-officedocument.drawingml.chartshape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drawings/drawing14.xml" ContentType="application/vnd.openxmlformats-officedocument.drawingml.chartshape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drawings/drawing16.xml" ContentType="application/vnd.openxmlformats-officedocument.drawingml.chartshapes+xml"/>
  <Override PartName="/xl/charts/chart22.xml" ContentType="application/vnd.openxmlformats-officedocument.drawingml.chart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8.xml" ContentType="application/vnd.openxmlformats-officedocument.drawingml.chartshapes+xml"/>
  <Override PartName="/xl/charts/chart27.xml" ContentType="application/vnd.openxmlformats-officedocument.drawingml.chart+xml"/>
  <Override PartName="/xl/drawings/drawing19.xml" ContentType="application/vnd.openxmlformats-officedocument.drawing+xml"/>
  <Override PartName="/xl/charts/chart28.xml" ContentType="application/vnd.openxmlformats-officedocument.drawingml.chart+xml"/>
  <Override PartName="/xl/drawings/drawing20.xml" ContentType="application/vnd.openxmlformats-officedocument.drawingml.chartshapes+xml"/>
  <Override PartName="/xl/charts/chart29.xml" ContentType="application/vnd.openxmlformats-officedocument.drawingml.chart+xml"/>
  <Override PartName="/xl/drawings/drawing21.xml" ContentType="application/vnd.openxmlformats-officedocument.drawing+xml"/>
  <Override PartName="/xl/charts/chart30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31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3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6.xml" ContentType="application/vnd.openxmlformats-officedocument.drawing+xml"/>
  <Override PartName="/xl/charts/chart33.xml" ContentType="application/vnd.openxmlformats-officedocument.drawingml.chart+xml"/>
  <Override PartName="/xl/drawings/drawing27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28.xml" ContentType="application/vnd.openxmlformats-officedocument.drawing+xml"/>
  <Override PartName="/xl/charts/chart36.xml" ContentType="application/vnd.openxmlformats-officedocument.drawingml.chart+xml"/>
  <Override PartName="/xl/drawings/drawing29.xml" ContentType="application/vnd.openxmlformats-officedocument.drawing+xml"/>
  <Override PartName="/xl/charts/chart37.xml" ContentType="application/vnd.openxmlformats-officedocument.drawingml.chart+xml"/>
  <Override PartName="/xl/drawings/drawing30.xml" ContentType="application/vnd.openxmlformats-officedocument.drawing+xml"/>
  <Override PartName="/xl/charts/chart38.xml" ContentType="application/vnd.openxmlformats-officedocument.drawingml.chart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39.xml" ContentType="application/vnd.openxmlformats-officedocument.drawingml.chart+xml"/>
  <Override PartName="/xl/drawings/drawing3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rizone-1\OneDrive\Masaüstü\"/>
    </mc:Choice>
  </mc:AlternateContent>
  <xr:revisionPtr revIDLastSave="0" documentId="13_ncr:1_{2018BB36-F67B-4C78-894F-3F474545FE2D}" xr6:coauthVersionLast="47" xr6:coauthVersionMax="47" xr10:uidLastSave="{00000000-0000-0000-0000-000000000000}"/>
  <bookViews>
    <workbookView xWindow="-120" yWindow="-120" windowWidth="29040" windowHeight="15720" tabRatio="827" activeTab="2" xr2:uid="{00000000-000D-0000-FFFF-FFFF00000000}"/>
  </bookViews>
  <sheets>
    <sheet name="Tanım" sheetId="1" r:id="rId1"/>
    <sheet name="Rapor" sheetId="4" r:id="rId2"/>
    <sheet name="Personel Sirkülasyon Oranı" sheetId="2" r:id="rId3"/>
    <sheet name="Devamsızlık Oranı" sheetId="5" r:id="rId4"/>
    <sheet name="Fazla Mesai Oranı" sheetId="6" r:id="rId5"/>
    <sheet name="Eğitim Adam Saat" sheetId="3" r:id="rId6"/>
    <sheet name="İş Kazası Adedi" sheetId="7" r:id="rId7"/>
    <sheet name="İç Terfi Oranı" sheetId="8" r:id="rId8"/>
    <sheet name="Boş Kadro Doldurma Oranı" sheetId="9" r:id="rId9"/>
    <sheet name="Görüşme, İşe Alım Adedi" sheetId="10" r:id="rId10"/>
    <sheet name="Cinsiyet Dağılımı" sheetId="11" r:id="rId11"/>
    <sheet name="Kurum Yaş Ortalaması" sheetId="12" r:id="rId12"/>
    <sheet name="Kurum Eğitim Durumu" sheetId="13" r:id="rId13"/>
    <sheet name="Entelektüel Kap. Raporu" sheetId="14" r:id="rId14"/>
    <sheet name="Servis Doluluk Oranı" sheetId="15" r:id="rId15"/>
    <sheet name="Direk Endirek Personel Oranı" sheetId="16" r:id="rId16"/>
  </sheets>
  <definedNames>
    <definedName name="_xlnm.Print_Area" localSheetId="0">Tanım!$A$1:$D$30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3" l="1"/>
  <c r="C6" i="3"/>
  <c r="C4" i="3"/>
  <c r="C4" i="15"/>
  <c r="D11" i="12"/>
  <c r="D10" i="12"/>
  <c r="D6" i="8"/>
  <c r="D3" i="7"/>
  <c r="C4" i="6"/>
  <c r="C4" i="5"/>
  <c r="C4" i="2"/>
  <c r="D9" i="12"/>
  <c r="D5" i="12"/>
  <c r="D6" i="12"/>
  <c r="D8" i="12"/>
  <c r="D4" i="12"/>
  <c r="D7" i="12"/>
  <c r="D4" i="8"/>
  <c r="D5" i="8"/>
  <c r="F31" i="5"/>
  <c r="B31" i="12"/>
  <c r="F30" i="5"/>
  <c r="C4" i="11"/>
  <c r="F29" i="5" l="1"/>
  <c r="B9" i="13" l="1"/>
  <c r="D3" i="12"/>
  <c r="C3" i="3"/>
  <c r="F26" i="5" l="1"/>
  <c r="F25" i="5"/>
  <c r="F24" i="5"/>
  <c r="C7" i="13"/>
  <c r="C3" i="11"/>
  <c r="D3" i="8"/>
  <c r="C3" i="13"/>
  <c r="C6" i="13"/>
  <c r="C5" i="13"/>
  <c r="C4" i="13"/>
  <c r="G31" i="12"/>
  <c r="F31" i="12"/>
  <c r="E31" i="12"/>
  <c r="D31" i="12"/>
  <c r="C31" i="12"/>
</calcChain>
</file>

<file path=xl/sharedStrings.xml><?xml version="1.0" encoding="utf-8"?>
<sst xmlns="http://schemas.openxmlformats.org/spreadsheetml/2006/main" count="447" uniqueCount="220">
  <si>
    <t>DEĞERLENDİRME KRİTERİ</t>
  </si>
  <si>
    <t>FORMÜL</t>
  </si>
  <si>
    <t>Personel Sirkülasyon Oranı</t>
  </si>
  <si>
    <t>Devamsızlık Oranı</t>
  </si>
  <si>
    <t>Fazla Mesai Oranı</t>
  </si>
  <si>
    <t>Eğitim Adam Saat</t>
  </si>
  <si>
    <t>NO</t>
  </si>
  <si>
    <t>1.1.</t>
  </si>
  <si>
    <t>1.</t>
  </si>
  <si>
    <t>1.2.</t>
  </si>
  <si>
    <t>2.</t>
  </si>
  <si>
    <t>3.</t>
  </si>
  <si>
    <t>4.</t>
  </si>
  <si>
    <t>2.1.</t>
  </si>
  <si>
    <t>2.2.</t>
  </si>
  <si>
    <t>3.1.</t>
  </si>
  <si>
    <t>4.1.</t>
  </si>
  <si>
    <t>5.</t>
  </si>
  <si>
    <t>İş Kazası Adedi</t>
  </si>
  <si>
    <t>Bölüm Bazlı İş Kazası Adedi</t>
  </si>
  <si>
    <t>5.1.</t>
  </si>
  <si>
    <t>6.</t>
  </si>
  <si>
    <t>İç Terfi Oranı</t>
  </si>
  <si>
    <t>7.</t>
  </si>
  <si>
    <t>Boş Kadro Doldurma Oranı</t>
  </si>
  <si>
    <t>Boş Kadro Adedi / Norm Kadro Adedi</t>
  </si>
  <si>
    <t>Görüşmeye Çağırılan Kişi Sayısı, Görüşülen Kişi Sayısı, İşe Alınan Personel Sayısı</t>
  </si>
  <si>
    <t>Görüşmeye Çağırılan, Görüşülen, İşe Alınan Personel Sayısı</t>
  </si>
  <si>
    <t>8.</t>
  </si>
  <si>
    <t>DEĞERLENDİRME PERİYORDU</t>
  </si>
  <si>
    <t>YIL</t>
  </si>
  <si>
    <t>AY</t>
  </si>
  <si>
    <t>Terfi Eden Kişi Sayısı / Toplam Çalışan Sayısı</t>
  </si>
  <si>
    <t>Kurum Cinsiyet Dağılımı</t>
  </si>
  <si>
    <t>Kurum Eğitim Durumu</t>
  </si>
  <si>
    <t>9.</t>
  </si>
  <si>
    <t>10.</t>
  </si>
  <si>
    <t>11.</t>
  </si>
  <si>
    <t>12.</t>
  </si>
  <si>
    <t>İşten Ayrılan Personel Sayısı / Ortalama Ay İçinde Çalışan Personel Sayısı</t>
  </si>
  <si>
    <t>Aylık Devamsızlık Saati / Aylık Toplam Çalışma Saati</t>
  </si>
  <si>
    <t>Aylık Fazla Mesai Saati / Aylık Toplam Çalışma Saati</t>
  </si>
  <si>
    <t>Toplam Verilen Eğitim Saati / Toplam Çalışan Sayısı</t>
  </si>
  <si>
    <t>Ay İçerisinde Gerçekleşen İş Kazası Adedi</t>
  </si>
  <si>
    <t>Bayan Çalışan Sayısı / Toplam Çalışan Sayısı
Erkek Çalışan Sayısı / Toplam Çalışan Sayısı</t>
  </si>
  <si>
    <t>10.1.</t>
  </si>
  <si>
    <t>Kurum Yaş Ortalaması</t>
  </si>
  <si>
    <t>Çalışan Yaş Toplamı / Toplam Çalışan Sayısı</t>
  </si>
  <si>
    <t>18-25, 26-30, 31-35, 36-40, 41-45, 46-Üzeri Çalışsan Sayısı</t>
  </si>
  <si>
    <t>İlkolkul, Ortaokul, Lise, Meslek Yüksek Okulu, Üniversite Mezunu Çalışan Sayısı</t>
  </si>
  <si>
    <t>Mühendis, Diğer Üniversite, Tekniker Çalışan Sayısı</t>
  </si>
  <si>
    <t>Personel Sikülasyon Oranının Bölüm Bazlı Dağılımı</t>
  </si>
  <si>
    <t>Personel Sirkülasyon Oranının Sebep Bazlı Dağılımı (Maaş, Başka İş Bulma, Servis, Yönetici İle Anlaşamama vs.. Sebepler)</t>
  </si>
  <si>
    <t>Devamsızlık Oranının Bölüm Bazlı Dağılımı</t>
  </si>
  <si>
    <t>Devamsızlık Oranının Sebep Bazlı Dağılımı (Rapor, Doğum, Ölüm, İzinsiz vs.. Sebepler)</t>
  </si>
  <si>
    <t>Fazla Mesai Oranının Bölüm Bazlı Dağılımı</t>
  </si>
  <si>
    <t>Eğitim Dağılım Oranı</t>
  </si>
  <si>
    <t>İş Kazasının Bölüm Bazlı Adedi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</si>
  <si>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</si>
  <si>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</si>
  <si>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</si>
  <si>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</si>
  <si>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</si>
  <si>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</si>
  <si>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</si>
  <si>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</si>
  <si>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</si>
  <si>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</si>
  <si>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</si>
  <si>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</si>
  <si>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İŞLETME</t>
  </si>
  <si>
    <t>GERÇEKLEŞEN</t>
  </si>
  <si>
    <t>ORTALAMA</t>
  </si>
  <si>
    <t>SEBEP</t>
  </si>
  <si>
    <t>Maaş</t>
  </si>
  <si>
    <t>Fazla Mesai</t>
  </si>
  <si>
    <t>Fesih</t>
  </si>
  <si>
    <t/>
  </si>
  <si>
    <t>Diğer</t>
  </si>
  <si>
    <t>PERSONEL SİRKÜLASYON ORANI</t>
  </si>
  <si>
    <t>Devamsızlık</t>
  </si>
  <si>
    <t>BÖLÜM</t>
  </si>
  <si>
    <t>Depo</t>
  </si>
  <si>
    <t>İdari İşler</t>
  </si>
  <si>
    <t>Beyaz Yaka</t>
  </si>
  <si>
    <t>SEBEP BAZLI PERSONEL SİRKÜLASYON DAĞILIMI</t>
  </si>
  <si>
    <t>Bölüm Bazlı Personel Sirkülasyon Dağılımı</t>
  </si>
  <si>
    <t>Sebep Bazlı Personel Sirkülasyon Dağılımı</t>
  </si>
  <si>
    <t>Bölüm Bazlı Devamsızlık Dağılımı</t>
  </si>
  <si>
    <t>Sebep Bazlı Devamsızlık Dağılımı</t>
  </si>
  <si>
    <t>Bölüm Bazlı Fazla Mesai Dağılımı</t>
  </si>
  <si>
    <t>BÖLÜM BAZLI PERSONEL SİRKÜLASYON DAĞILIMI</t>
  </si>
  <si>
    <t>DEVAMSIZLIK ORANI</t>
  </si>
  <si>
    <t>SEBEP BAZLI DEVAMSIZLIK DAĞILIMI</t>
  </si>
  <si>
    <t>RAPOR</t>
  </si>
  <si>
    <t>ÜCRETSİZ İZİN</t>
  </si>
  <si>
    <t>BÖLÜM BAZLI DEVAMSIZLIK DAĞILIMI</t>
  </si>
  <si>
    <t>FAZLA MESAİ ORANI</t>
  </si>
  <si>
    <t>BÖLÜM BAZLI FAZLA MESAİ DAĞILIMI</t>
  </si>
  <si>
    <t>VERİLEN EĞİTİM</t>
  </si>
  <si>
    <t>KİŞİ SAYISI</t>
  </si>
  <si>
    <t>KİŞİ BAŞI EĞİTİM SAAT</t>
  </si>
  <si>
    <t>ORAN</t>
  </si>
  <si>
    <t>Teknik Eğitimler</t>
  </si>
  <si>
    <t>İSG Eğitimleri</t>
  </si>
  <si>
    <t>Verilen Eğitimlerin İSG, Teknik, Yönetsel Eğitimler Olarak Dağılım Oranı</t>
  </si>
  <si>
    <t>Yönetsel Eğitimler</t>
  </si>
  <si>
    <t>EĞİTİM ADAM SAAT</t>
  </si>
  <si>
    <t>BÖLÜM BAZLI İŞ KAZASI ADEDİ</t>
  </si>
  <si>
    <t>ADET</t>
  </si>
  <si>
    <t>ÇALIŞAN SAYISI</t>
  </si>
  <si>
    <t>BOŞ KADRO DOLDURMA ORANI</t>
  </si>
  <si>
    <t>İÇ TERFİ ORANI</t>
  </si>
  <si>
    <t>GÖRÜŞMEYE ÇAĞRILAN</t>
  </si>
  <si>
    <t>GÖRÜŞÜLEN</t>
  </si>
  <si>
    <t>İŞE ALINAN</t>
  </si>
  <si>
    <t>GÖRÜŞMEYE ÇAĞIRILAN, GÖRÜŞÜLEN, İŞE ALINAN PERSONEL SAYISI</t>
  </si>
  <si>
    <t>CİNSİYET</t>
  </si>
  <si>
    <t>Erkek</t>
  </si>
  <si>
    <t>Kadın</t>
  </si>
  <si>
    <t>KURUM CİNSİYET DAĞILIMI</t>
  </si>
  <si>
    <t>YAŞ</t>
  </si>
  <si>
    <t>18-25</t>
  </si>
  <si>
    <t>26-30</t>
  </si>
  <si>
    <t>31-35</t>
  </si>
  <si>
    <t>36-40</t>
  </si>
  <si>
    <t>41-45</t>
  </si>
  <si>
    <t>KURUM YAŞ ORTALAMASI</t>
  </si>
  <si>
    <t>TOPLAM YAŞ</t>
  </si>
  <si>
    <t>46-ÜSTÜ</t>
  </si>
  <si>
    <t>Kurum Yaşa Göre Dağılımı</t>
  </si>
  <si>
    <t>TAHSİL</t>
  </si>
  <si>
    <t>İLKOKUL</t>
  </si>
  <si>
    <t>ORTAOKUL</t>
  </si>
  <si>
    <t>LİSE</t>
  </si>
  <si>
    <t>MESLEK YÜKSEK OKULU</t>
  </si>
  <si>
    <t>ÜNİVERSİTE</t>
  </si>
  <si>
    <t>EĞİTİM DURUMU</t>
  </si>
  <si>
    <t>MÜHENDİS</t>
  </si>
  <si>
    <t>MAKİNE MÜHENDİSİ</t>
  </si>
  <si>
    <t>ENDÜSTRİ MÜHENDİSİ</t>
  </si>
  <si>
    <t>TEKNİKER</t>
  </si>
  <si>
    <t>DİĞER ÜNİVERSİTE MEZUNLARI</t>
  </si>
  <si>
    <t>TEKSTİL MÜHENDİSİ</t>
  </si>
  <si>
    <t>KİMYA MÜHENDİSİ</t>
  </si>
  <si>
    <t>ENTELEKTÜEL KAPASİTE RAPORU</t>
  </si>
  <si>
    <t>Kurum Entelektüel Kapasite Raporu</t>
  </si>
  <si>
    <t>İNSAN KAYNAKLARI RAPORU</t>
  </si>
  <si>
    <t>13.</t>
  </si>
  <si>
    <t>Servis Doluluk Oranı</t>
  </si>
  <si>
    <t>Servisteki Personel Sayısı / Servis Yolcu Kapasitesi</t>
  </si>
  <si>
    <t>14.</t>
  </si>
  <si>
    <t>Direk Endirek Personel Oranı</t>
  </si>
  <si>
    <t>Direk Çalışan Sayısı / Toplam Çalışan Sayısı , Endirek Çalışan Sayısı / Toplam Çalışan Sayısı</t>
  </si>
  <si>
    <t>SERVİS DOLULUK ORANI</t>
  </si>
  <si>
    <t>DİREK ENDİREK PERSONEL ORANI</t>
  </si>
  <si>
    <t>DİREK ORANI</t>
  </si>
  <si>
    <t>ENDİREK ORANI</t>
  </si>
  <si>
    <t>2017-1</t>
  </si>
  <si>
    <t>2017-2</t>
  </si>
  <si>
    <t>2017-3</t>
  </si>
  <si>
    <t xml:space="preserve"> </t>
  </si>
  <si>
    <t>Vardiya</t>
  </si>
  <si>
    <t>Uzaklık- Servis</t>
  </si>
  <si>
    <t>Yönetici</t>
  </si>
  <si>
    <t>İşe- Ortama Uyamama</t>
  </si>
  <si>
    <t>2025 ORT</t>
  </si>
  <si>
    <t>2O25 ORT</t>
  </si>
  <si>
    <t>OPERATÖR</t>
  </si>
  <si>
    <t>ÇAPAK</t>
  </si>
  <si>
    <t>AKSESUAR</t>
  </si>
  <si>
    <t xml:space="preserve">PAKETLEME </t>
  </si>
  <si>
    <t xml:space="preserve">ÜCRETLİ İZİN </t>
  </si>
  <si>
    <t>DEVAMSIZLIK</t>
  </si>
  <si>
    <t>A VARDİYASI</t>
  </si>
  <si>
    <t>B VARDİYASI</t>
  </si>
  <si>
    <t>C VARDİYASI</t>
  </si>
  <si>
    <t>DEPO</t>
  </si>
  <si>
    <t>BEYAZ YAKA</t>
  </si>
  <si>
    <t>PAKETLEME</t>
  </si>
  <si>
    <t>1 SAAT</t>
  </si>
  <si>
    <t>8 SAAT</t>
  </si>
  <si>
    <t>2025ORT</t>
  </si>
  <si>
    <t>İDARİ İŞLER</t>
  </si>
  <si>
    <t>2025-OCAK</t>
  </si>
  <si>
    <t>2025-ŞUBAT</t>
  </si>
  <si>
    <t>2025-MART</t>
  </si>
  <si>
    <t>2025-NİSAN</t>
  </si>
  <si>
    <t xml:space="preserve"> AY</t>
  </si>
  <si>
    <t>DİĞER</t>
  </si>
  <si>
    <t>Başka İş-İstifa</t>
  </si>
  <si>
    <t>TOPLAM ADAM/SAAT</t>
  </si>
  <si>
    <t>DÖNEMSEL EĞİTİM SAATİ</t>
  </si>
  <si>
    <t>2025/1</t>
  </si>
  <si>
    <t>2025 NİSAN</t>
  </si>
  <si>
    <t>2025 MAYIS</t>
  </si>
  <si>
    <t>2025 HAZİRAN</t>
  </si>
  <si>
    <t>2025 TEMMUZ</t>
  </si>
  <si>
    <t>2025 AĞUSTOS</t>
  </si>
  <si>
    <t>2025 EYLÜL</t>
  </si>
  <si>
    <t>2025  EKİM</t>
  </si>
  <si>
    <t>2025 KASIM</t>
  </si>
  <si>
    <t>2025 ARALIK</t>
  </si>
  <si>
    <t>2025-MAYIS</t>
  </si>
  <si>
    <t>2025/1.ÇEYREK</t>
  </si>
  <si>
    <t>2025/2.ÇEYREK</t>
  </si>
  <si>
    <t>2025/2</t>
  </si>
  <si>
    <t>2025-HAZİRAN</t>
  </si>
  <si>
    <t>2025-TEMMUZ</t>
  </si>
  <si>
    <t>2025- AĞUSTOS</t>
  </si>
  <si>
    <t>2025-AĞUSTOS</t>
  </si>
  <si>
    <t>2025/3</t>
  </si>
  <si>
    <t>2025- EYLÜL</t>
  </si>
  <si>
    <t>2025 - EYLÜL</t>
  </si>
  <si>
    <t>2025-EKİM</t>
  </si>
  <si>
    <t>2025/4</t>
  </si>
  <si>
    <t>2025-KASIM</t>
  </si>
  <si>
    <t>2025-ARALIK</t>
  </si>
  <si>
    <t>2025/3.ÇEYREK</t>
  </si>
  <si>
    <t>2025/4.ÇEYREK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</si>
</sst>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0" fontId="0" fillId="3" borderId="0" xfId="0" applyFill="1"/>
    <xf numFmtId="0" fontId="6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1" fontId="0" fillId="0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0" fontId="3" fillId="0" borderId="1" xfId="0" applyFont="1" applyBorder="1"/>
    <xf numFmtId="165" fontId="0" fillId="0" borderId="1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0" fontId="0" fillId="0" borderId="0" xfId="0" applyNumberFormat="1"/>
    <xf numFmtId="10" fontId="0" fillId="0" borderId="1" xfId="0" applyNumberFormat="1" applyBorder="1"/>
    <xf numFmtId="10" fontId="5" fillId="2" borderId="1" xfId="0" applyNumberFormat="1" applyFont="1" applyFill="1" applyBorder="1" applyAlignment="1">
      <alignment horizontal="center" vertical="center" wrapText="1"/>
    </xf>
    <xf numFmtId="10" fontId="0" fillId="0" borderId="7" xfId="1" applyNumberFormat="1" applyFont="1" applyFill="1" applyBorder="1" applyAlignment="1">
      <alignment horizontal="center"/>
    </xf>
    <xf numFmtId="164" fontId="0" fillId="0" borderId="0" xfId="0" applyNumberFormat="1"/>
    <xf numFmtId="9" fontId="0" fillId="0" borderId="0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PERSONEL SİRKÜLASYON 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0626003860922601"/>
          <c:w val="0.87399807524060102"/>
          <c:h val="0.59333097470943097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'Personel Sirkülasyon Oranı'!$B$2:$O$2</c:f>
              <c:strCache>
                <c:ptCount val="14"/>
                <c:pt idx="0">
                  <c:v>2024</c:v>
                </c:pt>
                <c:pt idx="1">
                  <c:v>2O25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Oranı'!$B$4:$O$4</c:f>
              <c:numCache>
                <c:formatCode>0.0%</c:formatCode>
                <c:ptCount val="14"/>
                <c:pt idx="1">
                  <c:v>0.10414166666666667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7-4619-B5FB-13A12FAA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3038776"/>
        <c:axId val="1888405240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'Personel Sirkülasyon Oranı'!$B$2:$O$2</c:f>
              <c:strCache>
                <c:ptCount val="14"/>
                <c:pt idx="0">
                  <c:v>2024</c:v>
                </c:pt>
                <c:pt idx="1">
                  <c:v>2O25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Oranı'!$B$3:$O$3</c:f>
              <c:numCache>
                <c:formatCode>0.0%</c:formatCode>
                <c:ptCount val="14"/>
                <c:pt idx="2">
                  <c:v>5.4600000000000003E-2</c:v>
                </c:pt>
                <c:pt idx="3">
                  <c:v>5.3199999999999997E-2</c:v>
                </c:pt>
                <c:pt idx="4">
                  <c:v>8.5000000000000006E-2</c:v>
                </c:pt>
                <c:pt idx="5">
                  <c:v>5.96E-2</c:v>
                </c:pt>
                <c:pt idx="6">
                  <c:v>5.6099999999999997E-2</c:v>
                </c:pt>
                <c:pt idx="7">
                  <c:v>4.5999999999999999E-2</c:v>
                </c:pt>
                <c:pt idx="8">
                  <c:v>0.32750000000000001</c:v>
                </c:pt>
                <c:pt idx="9">
                  <c:v>0.11899999999999999</c:v>
                </c:pt>
                <c:pt idx="10">
                  <c:v>0.1502</c:v>
                </c:pt>
                <c:pt idx="11">
                  <c:v>7.4700000000000003E-2</c:v>
                </c:pt>
                <c:pt idx="12">
                  <c:v>0.14760000000000001</c:v>
                </c:pt>
                <c:pt idx="13">
                  <c:v>0.1308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7-4619-B5FB-13A12FAA5EDB}"/>
            </c:ext>
          </c:extLst>
        </c:ser>
        <c:ser>
          <c:idx val="1"/>
          <c:order val="1"/>
          <c:marker>
            <c:symbol val="none"/>
          </c:marker>
          <c:cat>
            <c:strRef>
              <c:f>'Personel Sirkülasyon Oranı'!$B$2:$O$2</c:f>
              <c:strCache>
                <c:ptCount val="14"/>
                <c:pt idx="0">
                  <c:v>2024</c:v>
                </c:pt>
                <c:pt idx="1">
                  <c:v>2O25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Oranı'!#BAŞV!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619-B5FB-13A12FAA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038776"/>
        <c:axId val="1888405240"/>
      </c:lineChart>
      <c:catAx>
        <c:axId val="2043038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888405240"/>
        <c:crosses val="autoZero"/>
        <c:auto val="1"/>
        <c:lblAlgn val="ctr"/>
        <c:lblOffset val="100"/>
        <c:noMultiLvlLbl val="0"/>
      </c:catAx>
      <c:valAx>
        <c:axId val="1888405240"/>
        <c:scaling>
          <c:orientation val="minMax"/>
          <c:max val="0.15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2043038776"/>
        <c:crosses val="autoZero"/>
        <c:crossBetween val="between"/>
        <c:majorUnit val="0.02"/>
        <c:minorUnit val="0.0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DEVAMSIZLIK</a:t>
            </a:r>
            <a:r>
              <a:rPr lang="tr-TR" sz="1200" baseline="0"/>
              <a:t> </a:t>
            </a:r>
            <a:r>
              <a:rPr lang="tr-TR" sz="1200"/>
              <a:t>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0626003860922601"/>
          <c:w val="0.87399807524060102"/>
          <c:h val="0.59333097470943097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'Devamsızlık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'Devamsızlık Oranı'!$B$4:$O$4</c:f>
              <c:numCache>
                <c:formatCode>0.0%</c:formatCode>
                <c:ptCount val="14"/>
                <c:pt idx="1">
                  <c:v>7.2500000000000009E-2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2-42C5-8F4F-7D00FB9D6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5490728"/>
        <c:axId val="1887944024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'Devamsızlık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'Devamsızlık Oranı'!$B$3:$O$3</c:f>
              <c:numCache>
                <c:formatCode>0.0%</c:formatCode>
                <c:ptCount val="14"/>
                <c:pt idx="2" formatCode="0.00%">
                  <c:v>1.9599999999999999E-2</c:v>
                </c:pt>
                <c:pt idx="3">
                  <c:v>1.61E-2</c:v>
                </c:pt>
                <c:pt idx="4">
                  <c:v>1.8700000000000001E-2</c:v>
                </c:pt>
                <c:pt idx="5">
                  <c:v>2.64E-2</c:v>
                </c:pt>
                <c:pt idx="6">
                  <c:v>0.1024</c:v>
                </c:pt>
                <c:pt idx="7">
                  <c:v>0.21179999999999999</c:v>
                </c:pt>
                <c:pt idx="8">
                  <c:v>0.1351</c:v>
                </c:pt>
                <c:pt idx="9">
                  <c:v>6.4199999999999993E-2</c:v>
                </c:pt>
                <c:pt idx="10">
                  <c:v>0.1079</c:v>
                </c:pt>
                <c:pt idx="11">
                  <c:v>6.5000000000000002E-2</c:v>
                </c:pt>
                <c:pt idx="12">
                  <c:v>6.9000000000000006E-2</c:v>
                </c:pt>
                <c:pt idx="13">
                  <c:v>3.3799999999999997E-2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2-42C5-8F4F-7D00FB9D6F9B}"/>
            </c:ext>
          </c:extLst>
        </c:ser>
        <c:ser>
          <c:idx val="1"/>
          <c:order val="1"/>
          <c:marker>
            <c:symbol val="none"/>
          </c:marker>
          <c:cat>
            <c:strRef>
              <c:f>'Devamsızlık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Oranı'!#BAŞV!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62-42C5-8F4F-7D00FB9D6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490728"/>
        <c:axId val="1887944024"/>
      </c:lineChart>
      <c:catAx>
        <c:axId val="1945490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887944024"/>
        <c:crosses val="autoZero"/>
        <c:auto val="1"/>
        <c:lblAlgn val="ctr"/>
        <c:lblOffset val="100"/>
        <c:noMultiLvlLbl val="0"/>
      </c:catAx>
      <c:valAx>
        <c:axId val="1887944024"/>
        <c:scaling>
          <c:orientation val="minMax"/>
          <c:max val="0.2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945490728"/>
        <c:crosses val="autoZero"/>
        <c:crossBetween val="between"/>
        <c:majorUnit val="0.02"/>
        <c:minorUnit val="0.0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FAZLA MESAİ</a:t>
            </a:r>
            <a:r>
              <a:rPr lang="tr-TR" sz="1200" baseline="0"/>
              <a:t> </a:t>
            </a:r>
            <a:r>
              <a:rPr lang="tr-TR" sz="1200"/>
              <a:t>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0626003860922601"/>
          <c:w val="0.87399807524060102"/>
          <c:h val="0.59333097470943097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'Fazla Mesai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'Fazla Mesai Oranı'!$B$4:$O$4</c:f>
              <c:numCache>
                <c:formatCode>0.0%</c:formatCode>
                <c:ptCount val="14"/>
                <c:pt idx="1">
                  <c:v>3.3083333333333333E-2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7-41D4-977F-B528B1CBB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8110072"/>
        <c:axId val="1262686024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'Fazla Mesai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'Fazla Mesai Oranı'!$B$3:$O$3</c:f>
              <c:numCache>
                <c:formatCode>0.0%</c:formatCode>
                <c:ptCount val="14"/>
                <c:pt idx="2">
                  <c:v>2.2599999999999999E-2</c:v>
                </c:pt>
                <c:pt idx="3">
                  <c:v>2.92E-2</c:v>
                </c:pt>
                <c:pt idx="4">
                  <c:v>3.6999999999999998E-2</c:v>
                </c:pt>
                <c:pt idx="5">
                  <c:v>6.3200000000000006E-2</c:v>
                </c:pt>
                <c:pt idx="6">
                  <c:v>5.2999999999999999E-2</c:v>
                </c:pt>
                <c:pt idx="7">
                  <c:v>4.8500000000000001E-2</c:v>
                </c:pt>
                <c:pt idx="8">
                  <c:v>1.67E-2</c:v>
                </c:pt>
                <c:pt idx="9">
                  <c:v>4.4499999999999998E-2</c:v>
                </c:pt>
                <c:pt idx="10">
                  <c:v>1.8800000000000001E-2</c:v>
                </c:pt>
                <c:pt idx="11">
                  <c:v>1.41E-2</c:v>
                </c:pt>
                <c:pt idx="12">
                  <c:v>3.49E-2</c:v>
                </c:pt>
                <c:pt idx="13">
                  <c:v>1.4500000000000001E-2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47-41D4-977F-B528B1CBB6C1}"/>
            </c:ext>
          </c:extLst>
        </c:ser>
        <c:ser>
          <c:idx val="1"/>
          <c:order val="1"/>
          <c:marker>
            <c:symbol val="none"/>
          </c:marker>
          <c:cat>
            <c:strRef>
              <c:f>'Fazla Mesai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Oranı'!#BAŞV!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47-41D4-977F-B528B1CBB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110072"/>
        <c:axId val="1262686024"/>
      </c:lineChart>
      <c:catAx>
        <c:axId val="2058110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262686024"/>
        <c:crosses val="autoZero"/>
        <c:auto val="1"/>
        <c:lblAlgn val="ctr"/>
        <c:lblOffset val="100"/>
        <c:noMultiLvlLbl val="0"/>
      </c:catAx>
      <c:valAx>
        <c:axId val="1262686024"/>
        <c:scaling>
          <c:orientation val="minMax"/>
          <c:max val="0.25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2058110072"/>
        <c:crosses val="autoZero"/>
        <c:crossBetween val="between"/>
        <c:majorUnit val="0.02"/>
        <c:minorUnit val="0.0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EĞİTİM</a:t>
            </a:r>
            <a:r>
              <a:rPr lang="tr-TR" sz="1200" baseline="0"/>
              <a:t> ADAM SAAT</a:t>
            </a:r>
            <a:endParaRPr lang="tr-TR" sz="1200"/>
          </a:p>
        </c:rich>
      </c:tx>
      <c:layout>
        <c:manualLayout>
          <c:xMode val="edge"/>
          <c:yMode val="edge"/>
          <c:x val="1.05069991251094E-2"/>
          <c:y val="4.6296296296296302E-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'Eğitim Adam Saat'!$A$3:$A$6</c:f>
              <c:strCache>
                <c:ptCount val="4"/>
                <c:pt idx="0">
                  <c:v>2025/1.ÇEYREK</c:v>
                </c:pt>
                <c:pt idx="1">
                  <c:v>2025/2.ÇEYREK</c:v>
                </c:pt>
                <c:pt idx="2">
                  <c:v>2025/3.ÇEYREK</c:v>
                </c:pt>
                <c:pt idx="3">
                  <c:v>2025/4.ÇEYREK</c:v>
                </c:pt>
              </c:strCache>
            </c:strRef>
          </c:cat>
          <c:val>
            <c:numRef>
              <c:f>'Eğitim Adam Saat'!$C$3:$C$6</c:f>
              <c:numCache>
                <c:formatCode>0.00</c:formatCode>
                <c:ptCount val="4"/>
                <c:pt idx="0">
                  <c:v>0.53333333333333333</c:v>
                </c:pt>
                <c:pt idx="1">
                  <c:v>1.6040955631399318</c:v>
                </c:pt>
                <c:pt idx="2">
                  <c:v>0.77258566978193144</c:v>
                </c:pt>
                <c:pt idx="3">
                  <c:v>0.89915966386554624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6-4346-BCFA-00553201F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8567816"/>
        <c:axId val="1238771464"/>
      </c:barChart>
      <c:catAx>
        <c:axId val="1238567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8771464"/>
        <c:crosses val="autoZero"/>
        <c:auto val="1"/>
        <c:lblAlgn val="ctr"/>
        <c:lblOffset val="100"/>
        <c:noMultiLvlLbl val="0"/>
      </c:catAx>
      <c:valAx>
        <c:axId val="123877146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238567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İŞ</a:t>
            </a:r>
            <a:r>
              <a:rPr lang="tr-TR" sz="1200" baseline="0"/>
              <a:t> KAZASI ADEDİ</a:t>
            </a:r>
            <a:endParaRPr lang="tr-TR" sz="1200"/>
          </a:p>
        </c:rich>
      </c:tx>
      <c:layout>
        <c:manualLayout>
          <c:xMode val="edge"/>
          <c:yMode val="edge"/>
          <c:x val="8.8801972754511491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47444076454437"/>
          <c:w val="0.87399807524060102"/>
          <c:h val="0.55214693686422101"/>
        </c:manualLayout>
      </c:layout>
      <c:barChart>
        <c:barDir val="col"/>
        <c:grouping val="clustered"/>
        <c:varyColors val="0"/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'İş Kazası Adedi'!$C$3:$P$3</c:f>
              <c:numCache>
                <c:formatCode>0.00</c:formatCode>
                <c:ptCount val="14"/>
                <c:pt idx="1">
                  <c:v>0.13833333333333334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3-441F-85C0-59BE6FD0D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4301368"/>
        <c:axId val="1238475368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'İş Kazası Adedi'!$C$1:$P$1</c:f>
              <c:strCache>
                <c:ptCount val="14"/>
                <c:pt idx="1">
                  <c:v>2025ORT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'İş Kazası Adedi'!$C$2:$P$2</c:f>
              <c:numCache>
                <c:formatCode>0</c:formatCode>
                <c:ptCount val="14"/>
                <c:pt idx="2">
                  <c:v>0.34</c:v>
                </c:pt>
                <c:pt idx="3">
                  <c:v>0.32</c:v>
                </c:pt>
                <c:pt idx="4">
                  <c:v>0.34</c:v>
                </c:pt>
                <c:pt idx="5">
                  <c:v>0.32</c:v>
                </c:pt>
                <c:pt idx="6">
                  <c:v>0.34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D3-441F-85C0-59BE6FD0D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301368"/>
        <c:axId val="1238475368"/>
      </c:lineChart>
      <c:catAx>
        <c:axId val="13343013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238475368"/>
        <c:crosses val="autoZero"/>
        <c:auto val="1"/>
        <c:lblAlgn val="ctr"/>
        <c:lblOffset val="100"/>
        <c:noMultiLvlLbl val="0"/>
      </c:catAx>
      <c:valAx>
        <c:axId val="123847536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334301368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İÇ</a:t>
            </a:r>
            <a:r>
              <a:rPr lang="tr-TR" sz="1200" baseline="0"/>
              <a:t> TERFİ ORANI</a:t>
            </a:r>
          </a:p>
        </c:rich>
      </c:tx>
      <c:layout>
        <c:manualLayout>
          <c:xMode val="edge"/>
          <c:yMode val="edge"/>
          <c:x val="1.08333333333333E-3"/>
          <c:y val="1.38888888888889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'İç Terfi Oranı'!$A$3:$A$13</c:f>
              <c:strCache>
                <c:ptCount val="4"/>
                <c:pt idx="0">
                  <c:v>2025/1</c:v>
                </c:pt>
                <c:pt idx="1">
                  <c:v>2025/2</c:v>
                </c:pt>
                <c:pt idx="2">
                  <c:v>2025/3</c:v>
                </c:pt>
                <c:pt idx="3">
                  <c:v>2025/4</c:v>
                </c:pt>
              </c:strCache>
            </c:strRef>
          </c:cat>
          <c:val>
            <c:numRef>
              <c:f>'İç Terfi Oranı'!$D$3:$D$13</c:f>
              <c:numCache>
                <c:formatCode>0.00%</c:formatCode>
                <c:ptCount val="11"/>
                <c:pt idx="0">
                  <c:v>5.6666666666666664E-2</c:v>
                </c:pt>
                <c:pt idx="1">
                  <c:v>1.877133105802048E-2</c:v>
                </c:pt>
                <c:pt idx="2">
                  <c:v>5.1813471502590676E-3</c:v>
                </c:pt>
                <c:pt idx="3">
                  <c:v>1.4005602240896359E-2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F-4C35-BA5B-9BCBA3CA9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2360232"/>
        <c:axId val="1239278616"/>
      </c:lineChart>
      <c:catAx>
        <c:axId val="-2082360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tr-TR"/>
          </a:p>
        </c:txPr>
        <c:crossAx val="1239278616"/>
        <c:crosses val="autoZero"/>
        <c:auto val="1"/>
        <c:lblAlgn val="ctr"/>
        <c:lblOffset val="100"/>
        <c:noMultiLvlLbl val="0"/>
      </c:catAx>
      <c:valAx>
        <c:axId val="123927861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-2082360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BOŞ KADRO DOLDURMA 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38257688873511703"/>
          <c:w val="0.87399807524060102"/>
          <c:h val="0.39072404607914901"/>
        </c:manualLayout>
      </c:layout>
      <c:barChart>
        <c:barDir val="col"/>
        <c:grouping val="clustered"/>
        <c:varyColors val="0"/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'Boş Kadro Doldurma Oranı'!$B$4:$O$4</c:f>
              <c:numCache>
                <c:formatCode>0.0%</c:formatCode>
                <c:ptCount val="1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F-48E7-A6B3-D00EE6B7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8559896"/>
        <c:axId val="1238562968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'Boş Kadro Doldurma Oranı'!$B$2:$O$2</c:f>
              <c:strCache>
                <c:ptCount val="14"/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'Boş Kadro Doldurma Oranı'!$B$3:$O$3</c:f>
              <c:numCache>
                <c:formatCode>0.0%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F-48E7-A6B3-D00EE6B7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559896"/>
        <c:axId val="1238562968"/>
      </c:lineChart>
      <c:catAx>
        <c:axId val="1238559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238562968"/>
        <c:crosses val="autoZero"/>
        <c:auto val="1"/>
        <c:lblAlgn val="ctr"/>
        <c:lblOffset val="100"/>
        <c:noMultiLvlLbl val="0"/>
      </c:catAx>
      <c:valAx>
        <c:axId val="1238562968"/>
        <c:scaling>
          <c:orientation val="minMax"/>
          <c:max val="1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238559896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tr-TR" sz="1100"/>
              <a:t>GÖRÜŞMEYE ÇAĞIRILAN, GÖRÜŞÜLEN, İŞE ALINAN</a:t>
            </a:r>
          </a:p>
          <a:p>
            <a:pPr>
              <a:defRPr sz="1100"/>
            </a:pPr>
            <a:r>
              <a:rPr lang="tr-TR" sz="1100"/>
              <a:t>PERSONEL SAYISI</a:t>
            </a:r>
          </a:p>
        </c:rich>
      </c:tx>
      <c:layout>
        <c:manualLayout>
          <c:xMode val="edge"/>
          <c:yMode val="edge"/>
          <c:x val="2.8899304130855399E-3"/>
          <c:y val="4.629629629629630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071741032370905E-2"/>
          <c:y val="0.23195610965296001"/>
          <c:w val="0.90113791360542606"/>
          <c:h val="0.65206401283172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'Görüşme, İşe Alım Adedi'!$B$2</c:f>
              <c:strCache>
                <c:ptCount val="1"/>
                <c:pt idx="0">
                  <c:v>GÖRÜŞMEYE ÇAĞRILAN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'Görüşme, İşe Alım Adedi'!$A$3:$A$6</c:f>
              <c:strCache>
                <c:ptCount val="4"/>
                <c:pt idx="0">
                  <c:v>2025-OCAK</c:v>
                </c:pt>
                <c:pt idx="1">
                  <c:v>2025-ŞUBAT</c:v>
                </c:pt>
                <c:pt idx="2">
                  <c:v>2025-MART</c:v>
                </c:pt>
                <c:pt idx="3">
                  <c:v>2025-NİSAN</c:v>
                </c:pt>
              </c:strCache>
            </c:strRef>
          </c:cat>
          <c:val>
            <c:numRef>
              <c:f>'Görüşme, İşe Alım Adedi'!$B$3:$B$6</c:f>
              <c:numCache>
                <c:formatCode>General</c:formatCode>
                <c:ptCount val="4"/>
                <c:pt idx="0">
                  <c:v>60</c:v>
                </c:pt>
                <c:pt idx="1">
                  <c:v>45</c:v>
                </c:pt>
                <c:pt idx="2">
                  <c:v>15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E-4EB2-993A-EFB58DC03D4B}"/>
            </c:ext>
          </c:extLst>
        </c:ser>
        <c:ser>
          <c:idx val="1"/>
          <c:order val="1"/>
          <c:tx>
            <c:strRef>
              <c:f>'Görüşme, İşe Alım Adedi'!$C$2</c:f>
              <c:strCache>
                <c:ptCount val="1"/>
                <c:pt idx="0">
                  <c:v>GÖRÜŞÜLEN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'Görüşme, İşe Alım Adedi'!$C$3:$C$6</c:f>
              <c:numCache>
                <c:formatCode>General</c:formatCode>
                <c:ptCount val="4"/>
                <c:pt idx="0">
                  <c:v>55</c:v>
                </c:pt>
                <c:pt idx="1">
                  <c:v>40</c:v>
                </c:pt>
                <c:pt idx="2">
                  <c:v>9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E-4EB2-993A-EFB58DC03D4B}"/>
            </c:ext>
          </c:extLst>
        </c:ser>
        <c:ser>
          <c:idx val="2"/>
          <c:order val="2"/>
          <c:tx>
            <c:strRef>
              <c:f>'Görüşme, İşe Alım Adedi'!$D$2</c:f>
              <c:strCache>
                <c:ptCount val="1"/>
                <c:pt idx="0">
                  <c:v>İŞE ALINAN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'Görüşme, İşe Alım Adedi'!$D$3:$D$6</c:f>
              <c:numCache>
                <c:formatCode>General</c:formatCode>
                <c:ptCount val="4"/>
                <c:pt idx="0">
                  <c:v>36</c:v>
                </c:pt>
                <c:pt idx="1">
                  <c:v>35</c:v>
                </c:pt>
                <c:pt idx="2">
                  <c:v>5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DE-4EB2-993A-EFB58DC03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4799704"/>
        <c:axId val="-2081588616"/>
      </c:barChart>
      <c:catAx>
        <c:axId val="1334799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1588616"/>
        <c:crosses val="autoZero"/>
        <c:auto val="1"/>
        <c:lblAlgn val="ctr"/>
        <c:lblOffset val="100"/>
        <c:noMultiLvlLbl val="0"/>
      </c:catAx>
      <c:valAx>
        <c:axId val="-2081588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34799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900864811511901"/>
          <c:y val="4.0536599591717796E-3"/>
          <c:w val="0.20816580269116999"/>
          <c:h val="0.149899752114319"/>
        </c:manualLayout>
      </c:layout>
      <c:overlay val="0"/>
      <c:txPr>
        <a:bodyPr/>
        <a:lstStyle/>
        <a:p>
          <a:pPr>
            <a:defRPr sz="500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2016 YILI KURUM CİNSİYET DAĞILIMI</a:t>
            </a:r>
          </a:p>
        </c:rich>
      </c:tx>
      <c:layout>
        <c:manualLayout>
          <c:xMode val="edge"/>
          <c:yMode val="edge"/>
          <c:x val="6.3055555555555599E-3"/>
          <c:y val="1.85185185185185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tr-T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'Cinsiyet Dağılımı'!$A$3:$A$4</c:f>
              <c:strCache>
                <c:ptCount val="2"/>
                <c:pt idx="0">
                  <c:v>Erkek</c:v>
                </c:pt>
                <c:pt idx="1">
                  <c:v>Kadın</c:v>
                </c:pt>
              </c:strCache>
            </c:strRef>
          </c:cat>
          <c:val>
            <c:numRef>
              <c:f>'Cinsiyet Dağılımı'!$C$3:$C$4</c:f>
              <c:numCache>
                <c:formatCode>0%</c:formatCode>
                <c:ptCount val="2"/>
                <c:pt idx="0">
                  <c:v>0.72929292929292933</c:v>
                </c:pt>
                <c:pt idx="1">
                  <c:v>0.27070707070707073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5-4968-B70C-CB21F6D53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KURUM YAŞ ORTALAMASI</a:t>
            </a:r>
            <a:endParaRPr lang="tr-TR" sz="1200" baseline="0"/>
          </a:p>
        </c:rich>
      </c:tx>
      <c:layout>
        <c:manualLayout>
          <c:xMode val="edge"/>
          <c:yMode val="edge"/>
          <c:x val="1.08333333333333E-3"/>
          <c:y val="1.38888888888889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'Kurum Yaş Ortalaması'!$A$3:$A$12</c:f>
              <c:strCache>
                <c:ptCount val="9"/>
                <c:pt idx="0">
                  <c:v>2025 NİSAN</c:v>
                </c:pt>
                <c:pt idx="1">
                  <c:v>2025 MAYIS</c:v>
                </c:pt>
                <c:pt idx="2">
                  <c:v>2025 HAZİRAN</c:v>
                </c:pt>
                <c:pt idx="3">
                  <c:v>2025 TEMMUZ</c:v>
                </c:pt>
                <c:pt idx="4">
                  <c:v>2025 AĞUSTOS</c:v>
                </c:pt>
                <c:pt idx="5">
                  <c:v>2025 EYLÜL</c:v>
                </c:pt>
                <c:pt idx="6">
                  <c:v>2025  EKİM</c:v>
                </c:pt>
                <c:pt idx="7">
                  <c:v>2025 KASIM</c:v>
                </c:pt>
                <c:pt idx="8">
                  <c:v>2025 ARALIK</c:v>
                </c:pt>
              </c:strCache>
            </c:strRef>
          </c:cat>
          <c:val>
            <c:numRef>
              <c:f>'Kurum Yaş Ortalaması'!$D$3:$D$12</c:f>
              <c:numCache>
                <c:formatCode>0.0</c:formatCode>
                <c:ptCount val="10"/>
                <c:pt idx="0">
                  <c:v>25.549915397631132</c:v>
                </c:pt>
                <c:pt idx="1">
                  <c:v>26.595394736842106</c:v>
                </c:pt>
                <c:pt idx="2">
                  <c:v>27.730375426621162</c:v>
                </c:pt>
                <c:pt idx="3">
                  <c:v>31.17910447761194</c:v>
                </c:pt>
                <c:pt idx="4">
                  <c:v>30.415343915343914</c:v>
                </c:pt>
                <c:pt idx="5">
                  <c:v>28.760362694300518</c:v>
                </c:pt>
                <c:pt idx="6">
                  <c:v>35.309241379310343</c:v>
                </c:pt>
                <c:pt idx="7">
                  <c:v>31.11013927576602</c:v>
                </c:pt>
                <c:pt idx="8">
                  <c:v>25.627196261682244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26-4CAB-B612-FD8522416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291384"/>
        <c:axId val="1238844008"/>
      </c:lineChart>
      <c:catAx>
        <c:axId val="1239291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tr-TR"/>
          </a:p>
        </c:txPr>
        <c:crossAx val="1238844008"/>
        <c:crosses val="autoZero"/>
        <c:auto val="1"/>
        <c:lblAlgn val="ctr"/>
        <c:lblOffset val="100"/>
        <c:noMultiLvlLbl val="0"/>
      </c:catAx>
      <c:valAx>
        <c:axId val="123884400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1239291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KURUM</a:t>
            </a:r>
            <a:r>
              <a:rPr lang="tr-TR" sz="1200" baseline="0"/>
              <a:t> EĞİTİM DURUMU</a:t>
            </a:r>
            <a:endParaRPr lang="tr-TR" sz="1200"/>
          </a:p>
        </c:rich>
      </c:tx>
      <c:layout>
        <c:manualLayout>
          <c:xMode val="edge"/>
          <c:yMode val="edge"/>
          <c:x val="5.8263342082239796E-3"/>
          <c:y val="0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'Kurum Eğitim Durumu'!$A$3:$A$7</c:f>
              <c:strCache>
                <c:ptCount val="5"/>
                <c:pt idx="0">
                  <c:v>İLKOKUL</c:v>
                </c:pt>
                <c:pt idx="1">
                  <c:v>ORTAOKUL</c:v>
                </c:pt>
                <c:pt idx="2">
                  <c:v>LİSE</c:v>
                </c:pt>
                <c:pt idx="3">
                  <c:v>MESLEK YÜKSEK OKULU</c:v>
                </c:pt>
                <c:pt idx="4">
                  <c:v>ÜNİVERSİTE</c:v>
                </c:pt>
              </c:strCache>
            </c:strRef>
          </c:cat>
          <c:val>
            <c:numRef>
              <c:f>'Kurum Eğitim Durumu'!$C$3:$C$7</c:f>
              <c:numCache>
                <c:formatCode>0%</c:formatCode>
                <c:ptCount val="5"/>
                <c:pt idx="0">
                  <c:v>0.14485981308411214</c:v>
                </c:pt>
                <c:pt idx="1">
                  <c:v>0.17056074766355139</c:v>
                </c:pt>
                <c:pt idx="2">
                  <c:v>0.48598130841121495</c:v>
                </c:pt>
                <c:pt idx="3">
                  <c:v>8.1775700934579434E-2</c:v>
                </c:pt>
                <c:pt idx="4">
                  <c:v>0.11682242990654206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5-4F86-AAC9-719D7F0DC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KURUM ENTELEKTÜEL KAPASİTE RAPORU</a:t>
            </a:r>
          </a:p>
        </c:rich>
      </c:tx>
      <c:layout>
        <c:manualLayout>
          <c:xMode val="edge"/>
          <c:yMode val="edge"/>
          <c:x val="5.99300087489066E-3"/>
          <c:y val="1.3888888888888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'Entelektüel Kap. Raporu'!$A$3:$A$8</c:f>
              <c:strCache>
                <c:ptCount val="6"/>
                <c:pt idx="0">
                  <c:v>TEKSTİL MÜHENDİSİ</c:v>
                </c:pt>
                <c:pt idx="1">
                  <c:v>MAKİNE MÜHENDİSİ</c:v>
                </c:pt>
                <c:pt idx="2">
                  <c:v>ENDÜSTRİ MÜHENDİSİ</c:v>
                </c:pt>
                <c:pt idx="3">
                  <c:v>KİMYA MÜHENDİSİ</c:v>
                </c:pt>
                <c:pt idx="4">
                  <c:v>DİĞER ÜNİVERSİTE MEZUNLARI</c:v>
                </c:pt>
                <c:pt idx="5">
                  <c:v>TEKNİKER</c:v>
                </c:pt>
              </c:strCache>
            </c:strRef>
          </c:cat>
          <c:val>
            <c:numRef>
              <c:f>'Entelektüel Kap. Raporu'!$B$3:$B$8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50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2-4515-8E37-CEAD5AC95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020904"/>
        <c:axId val="-2081889336"/>
      </c:barChart>
      <c:catAx>
        <c:axId val="1239020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tr-TR"/>
          </a:p>
        </c:txPr>
        <c:crossAx val="-2081889336"/>
        <c:crosses val="autoZero"/>
        <c:auto val="1"/>
        <c:lblAlgn val="ctr"/>
        <c:lblOffset val="100"/>
        <c:noMultiLvlLbl val="0"/>
      </c:catAx>
      <c:valAx>
        <c:axId val="-2081889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39020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SERVİS DOLULUK 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0626003860922601"/>
          <c:w val="0.87399807524060102"/>
          <c:h val="0.59333097470943097"/>
        </c:manualLayout>
      </c:layout>
      <c:barChart>
        <c:barDir val="col"/>
        <c:grouping val="clustered"/>
        <c:varyColors val="0"/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'Servis Doluluk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'Servis Doluluk Oranı'!$B$4:$O$4</c:f>
              <c:numCache>
                <c:formatCode>0.0%</c:formatCode>
                <c:ptCount val="14"/>
                <c:pt idx="1">
                  <c:v>0.50999166666666673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4-4B21-AB56-2333E2B0D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8776824"/>
        <c:axId val="1238723960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'Servis Doluluk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'Servis Doluluk Oranı'!$B$3:$O$3</c:f>
              <c:numCache>
                <c:formatCode>0.0%</c:formatCode>
                <c:ptCount val="14"/>
                <c:pt idx="2">
                  <c:v>0.61319999999999997</c:v>
                </c:pt>
                <c:pt idx="3">
                  <c:v>0.61539999999999995</c:v>
                </c:pt>
                <c:pt idx="4">
                  <c:v>0.61299999999999999</c:v>
                </c:pt>
                <c:pt idx="5">
                  <c:v>0.62160000000000004</c:v>
                </c:pt>
                <c:pt idx="6">
                  <c:v>0.60399999999999998</c:v>
                </c:pt>
                <c:pt idx="7">
                  <c:v>0.59799999999999998</c:v>
                </c:pt>
                <c:pt idx="8">
                  <c:v>0.64229999999999998</c:v>
                </c:pt>
                <c:pt idx="9">
                  <c:v>0.88729999999999998</c:v>
                </c:pt>
                <c:pt idx="10">
                  <c:v>0.89880000000000004</c:v>
                </c:pt>
                <c:pt idx="11">
                  <c:v>8.3999999999999995E-3</c:v>
                </c:pt>
                <c:pt idx="12">
                  <c:v>8.8000000000000005E-3</c:v>
                </c:pt>
                <c:pt idx="13">
                  <c:v>9.1000000000000004E-3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74-4B21-AB56-2333E2B0D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776824"/>
        <c:axId val="1238723960"/>
      </c:lineChart>
      <c:catAx>
        <c:axId val="1238776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238723960"/>
        <c:crosses val="autoZero"/>
        <c:auto val="1"/>
        <c:lblAlgn val="ctr"/>
        <c:lblOffset val="100"/>
        <c:noMultiLvlLbl val="0"/>
      </c:catAx>
      <c:valAx>
        <c:axId val="1238723960"/>
        <c:scaling>
          <c:orientation val="minMax"/>
          <c:max val="0.15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238776824"/>
        <c:crosses val="autoZero"/>
        <c:crossBetween val="between"/>
        <c:majorUnit val="0.02"/>
        <c:minorUnit val="0.0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tr-TR" sz="1100"/>
              <a:t>DİREK ENDİREK PERSONEL ORANI</a:t>
            </a:r>
          </a:p>
        </c:rich>
      </c:tx>
      <c:layout>
        <c:manualLayout>
          <c:xMode val="edge"/>
          <c:yMode val="edge"/>
          <c:x val="2.8899304130855399E-3"/>
          <c:y val="4.629629629629630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071741032370905E-2"/>
          <c:y val="0.23195610965296001"/>
          <c:w val="0.90113791360542606"/>
          <c:h val="0.65206401283172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'Direk Endirek Personel Oranı'!$B$2</c:f>
              <c:strCache>
                <c:ptCount val="1"/>
                <c:pt idx="0">
                  <c:v>DİREK ORANI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'Direk Endirek Personel Oranı'!$A$3:$A$11</c:f>
              <c:strCache>
                <c:ptCount val="9"/>
                <c:pt idx="0">
                  <c:v>2025-OCAK</c:v>
                </c:pt>
                <c:pt idx="1">
                  <c:v>2025-ŞUBAT</c:v>
                </c:pt>
                <c:pt idx="2">
                  <c:v>2025-MART</c:v>
                </c:pt>
                <c:pt idx="3">
                  <c:v>2025-NİSAN</c:v>
                </c:pt>
                <c:pt idx="4">
                  <c:v>2025-MAYIS</c:v>
                </c:pt>
                <c:pt idx="5">
                  <c:v>2025-HAZİRAN</c:v>
                </c:pt>
                <c:pt idx="6">
                  <c:v>2025-TEMMUZ</c:v>
                </c:pt>
                <c:pt idx="7">
                  <c:v>2025-AĞUSTOS</c:v>
                </c:pt>
                <c:pt idx="8">
                  <c:v>2025 - EYLÜL</c:v>
                </c:pt>
              </c:strCache>
            </c:strRef>
          </c:cat>
          <c:val>
            <c:numRef>
              <c:f>'Direk Endirek Personel Oranı'!$B$3:$B$6</c:f>
              <c:numCache>
                <c:formatCode>General</c:formatCode>
                <c:ptCount val="4"/>
                <c:pt idx="0">
                  <c:v>93.34</c:v>
                </c:pt>
                <c:pt idx="1">
                  <c:v>93.3</c:v>
                </c:pt>
                <c:pt idx="2">
                  <c:v>92.9</c:v>
                </c:pt>
                <c:pt idx="3">
                  <c:v>90.96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D-4BD9-A788-D0C41253C6C5}"/>
            </c:ext>
          </c:extLst>
        </c:ser>
        <c:ser>
          <c:idx val="1"/>
          <c:order val="1"/>
          <c:tx>
            <c:strRef>
              <c:f>'Direk Endirek Personel Oranı'!$C$2</c:f>
              <c:strCache>
                <c:ptCount val="1"/>
                <c:pt idx="0">
                  <c:v>ENDİREK ORANI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'Direk Endirek Personel Oranı'!$A$3:$A$11</c:f>
              <c:strCache>
                <c:ptCount val="9"/>
                <c:pt idx="0">
                  <c:v>2025-OCAK</c:v>
                </c:pt>
                <c:pt idx="1">
                  <c:v>2025-ŞUBAT</c:v>
                </c:pt>
                <c:pt idx="2">
                  <c:v>2025-MART</c:v>
                </c:pt>
                <c:pt idx="3">
                  <c:v>2025-NİSAN</c:v>
                </c:pt>
                <c:pt idx="4">
                  <c:v>2025-MAYIS</c:v>
                </c:pt>
                <c:pt idx="5">
                  <c:v>2025-HAZİRAN</c:v>
                </c:pt>
                <c:pt idx="6">
                  <c:v>2025-TEMMUZ</c:v>
                </c:pt>
                <c:pt idx="7">
                  <c:v>2025-AĞUSTOS</c:v>
                </c:pt>
                <c:pt idx="8">
                  <c:v>2025 - EYLÜL</c:v>
                </c:pt>
              </c:strCache>
            </c:strRef>
          </c:cat>
          <c:val>
            <c:numRef>
              <c:f>'Direk Endirek Personel Oranı'!$C$3:$C$6</c:f>
              <c:numCache>
                <c:formatCode>General</c:formatCode>
                <c:ptCount val="4"/>
                <c:pt idx="0">
                  <c:v>6.66</c:v>
                </c:pt>
                <c:pt idx="1">
                  <c:v>6.7</c:v>
                </c:pt>
                <c:pt idx="2">
                  <c:v>7.1</c:v>
                </c:pt>
                <c:pt idx="3">
                  <c:v>9.0299999999999994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D-4BD9-A788-D0C41253C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4797512"/>
        <c:axId val="1238816056"/>
      </c:barChart>
      <c:catAx>
        <c:axId val="133479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8816056"/>
        <c:crosses val="autoZero"/>
        <c:auto val="1"/>
        <c:lblAlgn val="ctr"/>
        <c:lblOffset val="100"/>
        <c:noMultiLvlLbl val="0"/>
      </c:catAx>
      <c:valAx>
        <c:axId val="1238816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34797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900864811511901"/>
          <c:y val="4.0536599591717796E-3"/>
          <c:w val="0.25919100586691801"/>
          <c:h val="0.20372503437070399"/>
        </c:manualLayout>
      </c:layout>
      <c:overlay val="0"/>
      <c:txPr>
        <a:bodyPr/>
        <a:lstStyle/>
        <a:p>
          <a:pPr>
            <a:defRPr sz="700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PERSONEL SİRKÜLASYON 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0626003860922601"/>
          <c:w val="0.87399807524060102"/>
          <c:h val="0.59333097470943097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'Personel Sirkülasyon Oranı'!$B$2:$O$2</c:f>
              <c:strCache>
                <c:ptCount val="14"/>
                <c:pt idx="0">
                  <c:v>2024</c:v>
                </c:pt>
                <c:pt idx="1">
                  <c:v>2O25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Oranı'!$B$4:$O$4</c:f>
              <c:numCache>
                <c:formatCode>0.0%</c:formatCode>
                <c:ptCount val="14"/>
                <c:pt idx="1">
                  <c:v>0.10414166666666667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3-4588-9681-8D52DDC3C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8725512"/>
        <c:axId val="-2128722216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'Personel Sirkülasyon Oranı'!$B$2:$O$2</c:f>
              <c:strCache>
                <c:ptCount val="14"/>
                <c:pt idx="0">
                  <c:v>2024</c:v>
                </c:pt>
                <c:pt idx="1">
                  <c:v>2O25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Oranı'!$B$3:$O$3</c:f>
              <c:numCache>
                <c:formatCode>0.0%</c:formatCode>
                <c:ptCount val="14"/>
                <c:pt idx="2">
                  <c:v>5.4600000000000003E-2</c:v>
                </c:pt>
                <c:pt idx="3">
                  <c:v>5.3199999999999997E-2</c:v>
                </c:pt>
                <c:pt idx="4">
                  <c:v>8.5000000000000006E-2</c:v>
                </c:pt>
                <c:pt idx="5">
                  <c:v>5.96E-2</c:v>
                </c:pt>
                <c:pt idx="6">
                  <c:v>5.6099999999999997E-2</c:v>
                </c:pt>
                <c:pt idx="7">
                  <c:v>4.5999999999999999E-2</c:v>
                </c:pt>
                <c:pt idx="8">
                  <c:v>0.32750000000000001</c:v>
                </c:pt>
                <c:pt idx="9">
                  <c:v>0.11899999999999999</c:v>
                </c:pt>
                <c:pt idx="10">
                  <c:v>0.1502</c:v>
                </c:pt>
                <c:pt idx="11">
                  <c:v>7.4700000000000003E-2</c:v>
                </c:pt>
                <c:pt idx="12">
                  <c:v>0.14760000000000001</c:v>
                </c:pt>
                <c:pt idx="13">
                  <c:v>0.1308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3-4588-9681-8D52DDC3C1E6}"/>
            </c:ext>
          </c:extLst>
        </c:ser>
        <c:ser>
          <c:idx val="1"/>
          <c:order val="1"/>
          <c:marker>
            <c:symbol val="none"/>
          </c:marker>
          <c:cat>
            <c:strRef>
              <c:f>'Personel Sirkülasyon Oranı'!$B$2:$O$2</c:f>
              <c:strCache>
                <c:ptCount val="14"/>
                <c:pt idx="0">
                  <c:v>2024</c:v>
                </c:pt>
                <c:pt idx="1">
                  <c:v>2O25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D3-4588-9681-8D52DDC3C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8725512"/>
        <c:axId val="-2128722216"/>
      </c:lineChart>
      <c:catAx>
        <c:axId val="-2128725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8722216"/>
        <c:crosses val="autoZero"/>
        <c:auto val="1"/>
        <c:lblAlgn val="ctr"/>
        <c:lblOffset val="100"/>
        <c:noMultiLvlLbl val="0"/>
      </c:catAx>
      <c:valAx>
        <c:axId val="-2128722216"/>
        <c:scaling>
          <c:orientation val="minMax"/>
          <c:max val="0.15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8725512"/>
        <c:crosses val="autoZero"/>
        <c:crossBetween val="between"/>
        <c:majorUnit val="0.02"/>
        <c:minorUnit val="0.0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SEBEP BAZLI PERSONEL</a:t>
            </a:r>
            <a:r>
              <a:rPr lang="tr-TR" baseline="0"/>
              <a:t> SİRKÜLASYON DAĞILIMI</a:t>
            </a:r>
            <a:endParaRPr lang="tr-TR"/>
          </a:p>
        </c:rich>
      </c:tx>
      <c:layout>
        <c:manualLayout>
          <c:xMode val="edge"/>
          <c:yMode val="edge"/>
          <c:x val="1.8217054263565801E-3"/>
          <c:y val="1.1363636363636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'Personel Sirkülasyon Oranı'!$B$23:$M$23</c:f>
              <c:strCache>
                <c:ptCount val="10"/>
                <c:pt idx="0">
                  <c:v>Maaş</c:v>
                </c:pt>
                <c:pt idx="1">
                  <c:v>Başka İş-İstifa</c:v>
                </c:pt>
                <c:pt idx="2">
                  <c:v>Fazla Mesai</c:v>
                </c:pt>
                <c:pt idx="3">
                  <c:v>Uzaklık- Servis</c:v>
                </c:pt>
                <c:pt idx="4">
                  <c:v>Vardiya</c:v>
                </c:pt>
                <c:pt idx="5">
                  <c:v>Devamsızlık</c:v>
                </c:pt>
                <c:pt idx="6">
                  <c:v>İşe- Ortama Uyamama</c:v>
                </c:pt>
                <c:pt idx="7">
                  <c:v>Yönetici</c:v>
                </c:pt>
                <c:pt idx="8">
                  <c:v>Fesih</c:v>
                </c:pt>
                <c:pt idx="9">
                  <c:v>Diğer</c:v>
                </c:pt>
              </c:strCache>
            </c:strRef>
          </c:cat>
          <c:val>
            <c:numRef>
              <c:f>'Personel Sirkülasyon Oranı'!$B$32:$M$32</c:f>
              <c:numCache>
                <c:formatCode>0.00%</c:formatCode>
                <c:ptCount val="12"/>
                <c:pt idx="1">
                  <c:v>0.75860000000000005</c:v>
                </c:pt>
                <c:pt idx="5">
                  <c:v>6.8900000000000003E-2</c:v>
                </c:pt>
                <c:pt idx="7">
                  <c:v>0.10340000000000001</c:v>
                </c:pt>
                <c:pt idx="9">
                  <c:v>6.8900000000000003E-2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F-43EB-957E-9C589634D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BÖLÜM</a:t>
            </a:r>
            <a:r>
              <a:rPr lang="tr-TR" baseline="0"/>
              <a:t> BAZLI PERSONEL SİRKÜLASYON DAĞILIMI</a:t>
            </a:r>
            <a:endParaRPr lang="tr-TR"/>
          </a:p>
        </c:rich>
      </c:tx>
      <c:layout>
        <c:manualLayout>
          <c:xMode val="edge"/>
          <c:yMode val="edge"/>
          <c:x val="6.8317768418482195E-4"/>
          <c:y val="0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'Personel Sirkülasyon Oranı'!$B$56:$M$56</c:f>
              <c:strCache>
                <c:ptCount val="12"/>
                <c:pt idx="0">
                  <c:v>OPERATÖR</c:v>
                </c:pt>
                <c:pt idx="1">
                  <c:v>ÇAPAK</c:v>
                </c:pt>
                <c:pt idx="2">
                  <c:v>AKSESUAR</c:v>
                </c:pt>
                <c:pt idx="3">
                  <c:v>PAKETLEME </c:v>
                </c:pt>
                <c:pt idx="4">
                  <c:v>İdari İşler</c:v>
                </c:pt>
                <c:pt idx="5">
                  <c:v>Depo</c:v>
                </c:pt>
                <c:pt idx="6">
                  <c:v>Beyaz Yaka</c:v>
                </c:pt>
                <c:pt idx="7">
                  <c:v>DİĞER</c:v>
                </c:pt>
                <c:pt idx="11">
                  <c:v>Diğer</c:v>
                </c:pt>
              </c:strCache>
            </c:strRef>
          </c:cat>
          <c:val>
            <c:numRef>
              <c:f>'Personel Sirkülasyon Oranı'!$B$65:$M$65</c:f>
              <c:numCache>
                <c:formatCode>0.00%</c:formatCode>
                <c:ptCount val="12"/>
                <c:pt idx="0">
                  <c:v>6.8900000000000003E-2</c:v>
                </c:pt>
                <c:pt idx="1">
                  <c:v>8.6199999999999999E-2</c:v>
                </c:pt>
                <c:pt idx="2">
                  <c:v>0.22409999999999999</c:v>
                </c:pt>
                <c:pt idx="3">
                  <c:v>0.37930000000000003</c:v>
                </c:pt>
                <c:pt idx="4">
                  <c:v>1.72E-2</c:v>
                </c:pt>
                <c:pt idx="5">
                  <c:v>0.10340000000000001</c:v>
                </c:pt>
                <c:pt idx="6">
                  <c:v>1.72E-2</c:v>
                </c:pt>
                <c:pt idx="7">
                  <c:v>0.10340000000000001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4-49EE-BBA7-09D84664E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DEVAMSIZLIK</a:t>
            </a:r>
            <a:r>
              <a:rPr lang="tr-TR" sz="1200" baseline="0"/>
              <a:t> </a:t>
            </a:r>
            <a:r>
              <a:rPr lang="tr-TR" sz="1200"/>
              <a:t>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0626003860922601"/>
          <c:w val="0.87399807524060102"/>
          <c:h val="0.59333097470943097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'Devamsızlık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'Devamsızlık Oranı'!$B$4:$O$4</c:f>
              <c:numCache>
                <c:formatCode>0.0%</c:formatCode>
                <c:ptCount val="14"/>
                <c:pt idx="1">
                  <c:v>7.2500000000000009E-2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8-4461-8BAE-A316A6697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8730120"/>
        <c:axId val="-2128743016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'Devamsızlık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'Devamsızlık Oranı'!$B$3:$O$3</c:f>
              <c:numCache>
                <c:formatCode>0.0%</c:formatCode>
                <c:ptCount val="14"/>
                <c:pt idx="2" formatCode="0.00%">
                  <c:v>1.9599999999999999E-2</c:v>
                </c:pt>
                <c:pt idx="3">
                  <c:v>1.61E-2</c:v>
                </c:pt>
                <c:pt idx="4">
                  <c:v>1.8700000000000001E-2</c:v>
                </c:pt>
                <c:pt idx="5">
                  <c:v>2.64E-2</c:v>
                </c:pt>
                <c:pt idx="6">
                  <c:v>0.1024</c:v>
                </c:pt>
                <c:pt idx="7">
                  <c:v>0.21179999999999999</c:v>
                </c:pt>
                <c:pt idx="8">
                  <c:v>0.1351</c:v>
                </c:pt>
                <c:pt idx="9">
                  <c:v>6.4199999999999993E-2</c:v>
                </c:pt>
                <c:pt idx="10">
                  <c:v>0.1079</c:v>
                </c:pt>
                <c:pt idx="11">
                  <c:v>6.5000000000000002E-2</c:v>
                </c:pt>
                <c:pt idx="12">
                  <c:v>6.9000000000000006E-2</c:v>
                </c:pt>
                <c:pt idx="13">
                  <c:v>3.3799999999999997E-2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8-4461-8BAE-A316A6697E40}"/>
            </c:ext>
          </c:extLst>
        </c:ser>
        <c:ser>
          <c:idx val="1"/>
          <c:order val="1"/>
          <c:marker>
            <c:symbol val="none"/>
          </c:marker>
          <c:cat>
            <c:strRef>
              <c:f>'Devamsızlık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Oranı'!#BAŞV!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98-4461-8BAE-A316A6697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8730120"/>
        <c:axId val="-2128743016"/>
      </c:lineChart>
      <c:catAx>
        <c:axId val="-2128730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8743016"/>
        <c:crosses val="autoZero"/>
        <c:auto val="1"/>
        <c:lblAlgn val="ctr"/>
        <c:lblOffset val="100"/>
        <c:noMultiLvlLbl val="0"/>
      </c:catAx>
      <c:valAx>
        <c:axId val="-2128743016"/>
        <c:scaling>
          <c:orientation val="minMax"/>
          <c:max val="0.2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8730120"/>
        <c:crosses val="autoZero"/>
        <c:crossBetween val="between"/>
        <c:majorUnit val="0.02"/>
        <c:minorUnit val="0.0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SEBEP BAZLI DEVAMSIZLIK </a:t>
            </a:r>
            <a:r>
              <a:rPr lang="tr-TR" baseline="0"/>
              <a:t>DAĞILIMI</a:t>
            </a:r>
            <a:endParaRPr lang="tr-TR"/>
          </a:p>
        </c:rich>
      </c:tx>
      <c:layout>
        <c:manualLayout>
          <c:xMode val="edge"/>
          <c:yMode val="edge"/>
          <c:x val="1.8217054263565801E-3"/>
          <c:y val="1.1363636363636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'Devamsızlık Oranı'!$B$23:$N$23</c:f>
              <c:strCache>
                <c:ptCount val="4"/>
                <c:pt idx="0">
                  <c:v>ÜCRETLİ İZİN </c:v>
                </c:pt>
                <c:pt idx="1">
                  <c:v>ÜCRETSİZ İZİN</c:v>
                </c:pt>
                <c:pt idx="2">
                  <c:v>RAPOR</c:v>
                </c:pt>
                <c:pt idx="3">
                  <c:v>DEVAMSIZLIK</c:v>
                </c:pt>
              </c:strCache>
            </c:strRef>
          </c:cat>
          <c:val>
            <c:numRef>
              <c:f>'Devamsızlık Oranı'!$B$24:$N$24</c:f>
              <c:numCache>
                <c:formatCode>0.00%</c:formatCode>
                <c:ptCount val="13"/>
                <c:pt idx="0">
                  <c:v>5.1400000000000001E-2</c:v>
                </c:pt>
                <c:pt idx="1">
                  <c:v>0.31509999999999999</c:v>
                </c:pt>
                <c:pt idx="2">
                  <c:v>0.36969999999999997</c:v>
                </c:pt>
                <c:pt idx="3">
                  <c:v>0.26960000000000001</c:v>
                </c:pt>
                <c:pt idx="4">
                  <c:v>1.0058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3-4863-A6FC-CCCFB39D8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BÖLÜM</a:t>
            </a:r>
            <a:r>
              <a:rPr lang="tr-TR" baseline="0"/>
              <a:t> BAZLI DEVAMSIZLIK DAĞILIMI</a:t>
            </a:r>
            <a:endParaRPr lang="tr-TR"/>
          </a:p>
        </c:rich>
      </c:tx>
      <c:layout>
        <c:manualLayout>
          <c:xMode val="edge"/>
          <c:yMode val="edge"/>
          <c:x val="6.8317768418482195E-4"/>
          <c:y val="0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'Devamsızlık Oranı'!$B$56:$M$56</c:f>
              <c:strCache>
                <c:ptCount val="12"/>
                <c:pt idx="0">
                  <c:v>A VARDİYASI</c:v>
                </c:pt>
                <c:pt idx="1">
                  <c:v>B VARDİYASI</c:v>
                </c:pt>
                <c:pt idx="2">
                  <c:v>C VARDİYASI</c:v>
                </c:pt>
                <c:pt idx="3">
                  <c:v>DEPO</c:v>
                </c:pt>
                <c:pt idx="4">
                  <c:v>BEYAZ YAKA</c:v>
                </c:pt>
                <c:pt idx="11">
                  <c:v>Diğer</c:v>
                </c:pt>
              </c:strCache>
            </c:strRef>
          </c:cat>
          <c:val>
            <c:numRef>
              <c:f>'Devamsızlık Oranı'!$B$57:$M$57</c:f>
              <c:numCache>
                <c:formatCode>0.00%</c:formatCode>
                <c:ptCount val="12"/>
                <c:pt idx="0">
                  <c:v>0.4405</c:v>
                </c:pt>
                <c:pt idx="1">
                  <c:v>0.33439999999999998</c:v>
                </c:pt>
                <c:pt idx="2">
                  <c:v>0.22500000000000001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7-4B64-A987-84C55ED4A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FAZLA MESAİ</a:t>
            </a:r>
            <a:r>
              <a:rPr lang="tr-TR" sz="1200" baseline="0"/>
              <a:t> </a:t>
            </a:r>
            <a:r>
              <a:rPr lang="tr-TR" sz="1200"/>
              <a:t>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0626003860922601"/>
          <c:w val="0.87399807524060102"/>
          <c:h val="0.59333097470943097"/>
        </c:manualLayout>
      </c:layout>
      <c:barChart>
        <c:barDir val="col"/>
        <c:grouping val="clustered"/>
        <c:varyColors val="0"/>
        <c:ser>
          <c:idx val="2"/>
          <c:order val="2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'Fazla Mesai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'Fazla Mesai Oranı'!$B$4:$O$4</c:f>
              <c:numCache>
                <c:formatCode>0.0%</c:formatCode>
                <c:ptCount val="14"/>
                <c:pt idx="1">
                  <c:v>3.3083333333333333E-2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7-4CE9-A782-9888A6AA9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8908088"/>
        <c:axId val="-2128904888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'Fazla Mesai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'Fazla Mesai Oranı'!$B$3:$O$3</c:f>
              <c:numCache>
                <c:formatCode>0.0%</c:formatCode>
                <c:ptCount val="14"/>
                <c:pt idx="2">
                  <c:v>2.2599999999999999E-2</c:v>
                </c:pt>
                <c:pt idx="3">
                  <c:v>2.92E-2</c:v>
                </c:pt>
                <c:pt idx="4">
                  <c:v>3.6999999999999998E-2</c:v>
                </c:pt>
                <c:pt idx="5">
                  <c:v>6.3200000000000006E-2</c:v>
                </c:pt>
                <c:pt idx="6">
                  <c:v>5.2999999999999999E-2</c:v>
                </c:pt>
                <c:pt idx="7">
                  <c:v>4.8500000000000001E-2</c:v>
                </c:pt>
                <c:pt idx="8">
                  <c:v>1.67E-2</c:v>
                </c:pt>
                <c:pt idx="9">
                  <c:v>4.4499999999999998E-2</c:v>
                </c:pt>
                <c:pt idx="10">
                  <c:v>1.8800000000000001E-2</c:v>
                </c:pt>
                <c:pt idx="11">
                  <c:v>1.41E-2</c:v>
                </c:pt>
                <c:pt idx="12">
                  <c:v>3.49E-2</c:v>
                </c:pt>
                <c:pt idx="13">
                  <c:v>1.4500000000000001E-2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87-4CE9-A782-9888A6AA97BB}"/>
            </c:ext>
          </c:extLst>
        </c:ser>
        <c:ser>
          <c:idx val="1"/>
          <c:order val="1"/>
          <c:marker>
            <c:symbol val="none"/>
          </c:marker>
          <c:cat>
            <c:strRef>
              <c:f>'Fazla Mesai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'Personel Sirkülasyon Oranı'!#BAŞV!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7-4CE9-A782-9888A6AA9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8908088"/>
        <c:axId val="-2128904888"/>
      </c:lineChart>
      <c:catAx>
        <c:axId val="-2128908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8904888"/>
        <c:crosses val="autoZero"/>
        <c:auto val="1"/>
        <c:lblAlgn val="ctr"/>
        <c:lblOffset val="100"/>
        <c:noMultiLvlLbl val="0"/>
      </c:catAx>
      <c:valAx>
        <c:axId val="-2128904888"/>
        <c:scaling>
          <c:orientation val="minMax"/>
          <c:max val="0.25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8908088"/>
        <c:crosses val="autoZero"/>
        <c:crossBetween val="between"/>
        <c:majorUnit val="0.02"/>
        <c:minorUnit val="0.0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BÖLÜM</a:t>
            </a:r>
            <a:r>
              <a:rPr lang="tr-TR" baseline="0"/>
              <a:t> BAZLI FAZLA MESAİ DAĞILIMI</a:t>
            </a:r>
            <a:endParaRPr lang="tr-TR"/>
          </a:p>
        </c:rich>
      </c:tx>
      <c:layout>
        <c:manualLayout>
          <c:xMode val="edge"/>
          <c:yMode val="edge"/>
          <c:x val="6.8317768418482195E-4"/>
          <c:y val="0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'Fazla Mesai Oranı'!$B$23:$M$23</c:f>
              <c:strCache>
                <c:ptCount val="12"/>
                <c:pt idx="0">
                  <c:v>A VARDİYASI</c:v>
                </c:pt>
                <c:pt idx="1">
                  <c:v>B VARDİYASI</c:v>
                </c:pt>
                <c:pt idx="2">
                  <c:v>C VARDİYASI</c:v>
                </c:pt>
                <c:pt idx="3">
                  <c:v>Depo</c:v>
                </c:pt>
                <c:pt idx="4">
                  <c:v>İdari İşler</c:v>
                </c:pt>
                <c:pt idx="5">
                  <c:v>Beyaz Yaka</c:v>
                </c:pt>
                <c:pt idx="11">
                  <c:v>Diğer</c:v>
                </c:pt>
              </c:strCache>
            </c:strRef>
          </c:cat>
          <c:val>
            <c:numRef>
              <c:f>'Fazla Mesai Oranı'!$B$24:$M$24</c:f>
              <c:numCache>
                <c:formatCode>0.00%</c:formatCode>
                <c:ptCount val="12"/>
                <c:pt idx="0">
                  <c:v>0.22919999999999999</c:v>
                </c:pt>
                <c:pt idx="1">
                  <c:v>0.29210000000000003</c:v>
                </c:pt>
                <c:pt idx="2">
                  <c:v>0.22389999999999999</c:v>
                </c:pt>
                <c:pt idx="3">
                  <c:v>0.25459999999999999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F-47DE-A8B0-1A667BAB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OPERATÖR</a:t>
            </a:r>
          </a:p>
        </c:rich>
      </c:tx>
      <c:layout>
        <c:manualLayout>
          <c:xMode val="edge"/>
          <c:yMode val="edge"/>
          <c:x val="5.3519786605085804E-4"/>
          <c:y val="3.35865350461757E-3"/>
        </c:manualLayout>
      </c:layout>
      <c:overlay val="1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615727389232561"/>
          <c:y val="0.22263521559147956"/>
          <c:w val="0.81434976332493803"/>
          <c:h val="0.76513776474770101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7.8357386571623801E-3"/>
                  <c:y val="-2.01657297804005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C5-45DB-A40F-B77019C5EA58}"/>
                </c:ext>
              </c:extLst>
            </c:dLbl>
            <c:dLbl>
              <c:idx val="1"/>
              <c:layout>
                <c:manualLayout>
                  <c:x val="0.1781899137241249"/>
                  <c:y val="8.407616598377810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F2-4686-9215-A75FC1CD2E5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'Eğitim Adam Saat'!$A$25:$A$27</c:f>
              <c:strCache>
                <c:ptCount val="3"/>
                <c:pt idx="0">
                  <c:v>Teknik Eğitimler</c:v>
                </c:pt>
                <c:pt idx="1">
                  <c:v>İSG Eğitimleri</c:v>
                </c:pt>
                <c:pt idx="2">
                  <c:v>Yönetsel Eğitimler</c:v>
                </c:pt>
              </c:strCache>
            </c:strRef>
          </c:cat>
          <c:val>
            <c:numRef>
              <c:f>'Eğitim Adam Saat'!$C$25:$C$27</c:f>
              <c:numCache>
                <c:formatCode>0%</c:formatCode>
                <c:ptCount val="3"/>
                <c:pt idx="0">
                  <c:v>0.3</c:v>
                </c:pt>
                <c:pt idx="1">
                  <c:v>0.35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5-45DB-A40F-B77019C5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 b="1" i="0" u="none" strike="noStrike" baseline="0">
                <a:effectLst/>
              </a:rPr>
              <a:t>ÇAPAK</a:t>
            </a:r>
            <a:endParaRPr lang="tr-TR" sz="1200"/>
          </a:p>
        </c:rich>
      </c:tx>
      <c:layout>
        <c:manualLayout>
          <c:xMode val="edge"/>
          <c:yMode val="edge"/>
          <c:x val="5.3519786605085804E-4"/>
          <c:y val="3.35865350461757E-3"/>
        </c:manualLayout>
      </c:layout>
      <c:overlay val="1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1484302952512"/>
          <c:y val="0.22229999024841399"/>
          <c:w val="0.81373901123357195"/>
          <c:h val="0.76513776474770101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4.1050973136138903E-2"/>
                  <c:y val="-1.59951745218516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11-4AB5-BB9D-0779DA164DE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'Eğitim Adam Saat'!$A$25:$A$27</c:f>
              <c:strCache>
                <c:ptCount val="3"/>
                <c:pt idx="0">
                  <c:v>Teknik Eğitimler</c:v>
                </c:pt>
                <c:pt idx="1">
                  <c:v>İSG Eğitimleri</c:v>
                </c:pt>
                <c:pt idx="2">
                  <c:v>Yönetsel Eğitimler</c:v>
                </c:pt>
              </c:strCache>
            </c:strRef>
          </c:cat>
          <c:val>
            <c:numRef>
              <c:f>'Eğitim Adam Saat'!$E$25:$E$27</c:f>
              <c:numCache>
                <c:formatCode>0%</c:formatCode>
                <c:ptCount val="3"/>
                <c:pt idx="0">
                  <c:v>0</c:v>
                </c:pt>
                <c:pt idx="1">
                  <c:v>1.3599999999999999E-2</c:v>
                </c:pt>
                <c:pt idx="2">
                  <c:v>1.3599999999999999E-2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1-4AB5-BB9D-0779DA164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 b="1" i="0" u="none" strike="noStrike" baseline="0">
                <a:effectLst/>
              </a:rPr>
              <a:t>AKSESUAR</a:t>
            </a:r>
            <a:endParaRPr lang="tr-TR" sz="1200"/>
          </a:p>
        </c:rich>
      </c:tx>
      <c:layout>
        <c:manualLayout>
          <c:xMode val="edge"/>
          <c:yMode val="edge"/>
          <c:x val="5.3522920613544782E-4"/>
          <c:y val="3.3586279619733069E-3"/>
        </c:manualLayout>
      </c:layout>
      <c:overlay val="1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15417016214605E-2"/>
          <c:y val="0.227293746087569"/>
          <c:w val="0.81376916596757098"/>
          <c:h val="0.76513776474770101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'Eğitim Adam Saat'!$A$25:$A$27</c:f>
              <c:strCache>
                <c:ptCount val="3"/>
                <c:pt idx="0">
                  <c:v>Teknik Eğitimler</c:v>
                </c:pt>
                <c:pt idx="1">
                  <c:v>İSG Eğitimleri</c:v>
                </c:pt>
                <c:pt idx="2">
                  <c:v>Yönetsel Eğitimler</c:v>
                </c:pt>
              </c:strCache>
            </c:strRef>
          </c:cat>
          <c:val>
            <c:numRef>
              <c:f>'Eğitim Adam Saat'!$G$25:$G$27</c:f>
              <c:numCache>
                <c:formatCode>0%</c:formatCode>
                <c:ptCount val="3"/>
                <c:pt idx="0">
                  <c:v>0</c:v>
                </c:pt>
                <c:pt idx="1">
                  <c:v>7.4999999999999997E-3</c:v>
                </c:pt>
                <c:pt idx="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B-441C-95FD-886BF1BEF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EĞİTİM</a:t>
            </a:r>
            <a:r>
              <a:rPr lang="tr-TR" baseline="0"/>
              <a:t> ADAM SAAT</a:t>
            </a:r>
            <a:endParaRPr lang="tr-TR"/>
          </a:p>
        </c:rich>
      </c:tx>
      <c:layout>
        <c:manualLayout>
          <c:xMode val="edge"/>
          <c:yMode val="edge"/>
          <c:x val="1.05069991251094E-2"/>
          <c:y val="4.6296296296296302E-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'Eğitim Adam Saat'!$A$3:$A$6</c:f>
              <c:strCache>
                <c:ptCount val="4"/>
                <c:pt idx="0">
                  <c:v>2025/1.ÇEYREK</c:v>
                </c:pt>
                <c:pt idx="1">
                  <c:v>2025/2.ÇEYREK</c:v>
                </c:pt>
                <c:pt idx="2">
                  <c:v>2025/3.ÇEYREK</c:v>
                </c:pt>
                <c:pt idx="3">
                  <c:v>2025/4.ÇEYREK</c:v>
                </c:pt>
              </c:strCache>
            </c:strRef>
          </c:cat>
          <c:val>
            <c:numRef>
              <c:f>'Eğitim Adam Saat'!$C$3:$C$6</c:f>
              <c:numCache>
                <c:formatCode>0.00</c:formatCode>
                <c:ptCount val="4"/>
                <c:pt idx="0">
                  <c:v>0.53333333333333333</c:v>
                </c:pt>
                <c:pt idx="1">
                  <c:v>1.6040955631399318</c:v>
                </c:pt>
                <c:pt idx="2">
                  <c:v>0.77258566978193144</c:v>
                </c:pt>
                <c:pt idx="3">
                  <c:v>0.89915966386554624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6-4E91-A40E-C09DBA318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9185512"/>
        <c:axId val="-2129182536"/>
      </c:barChart>
      <c:catAx>
        <c:axId val="-2129185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29182536"/>
        <c:crosses val="autoZero"/>
        <c:auto val="1"/>
        <c:lblAlgn val="ctr"/>
        <c:lblOffset val="100"/>
        <c:noMultiLvlLbl val="0"/>
      </c:catAx>
      <c:valAx>
        <c:axId val="-212918253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-2129185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 b="1" i="0" u="none" strike="noStrike" baseline="0">
                <a:effectLst/>
              </a:rPr>
              <a:t>PAKETLEME</a:t>
            </a:r>
            <a:endParaRPr lang="tr-TR" sz="1200"/>
          </a:p>
        </c:rich>
      </c:tx>
      <c:layout>
        <c:manualLayout>
          <c:xMode val="edge"/>
          <c:yMode val="edge"/>
          <c:x val="3.4322541556143795E-3"/>
          <c:y val="8.5332700967617331E-3"/>
        </c:manualLayout>
      </c:layout>
      <c:overlay val="1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15417016214605E-2"/>
          <c:y val="0.227293746087569"/>
          <c:w val="0.81376916596757098"/>
          <c:h val="0.76513776474770101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'Eğitim Adam Saat'!$A$25:$A$27</c:f>
              <c:strCache>
                <c:ptCount val="3"/>
                <c:pt idx="0">
                  <c:v>Teknik Eğitimler</c:v>
                </c:pt>
                <c:pt idx="1">
                  <c:v>İSG Eğitimleri</c:v>
                </c:pt>
                <c:pt idx="2">
                  <c:v>Yönetsel Eğitimler</c:v>
                </c:pt>
              </c:strCache>
            </c:strRef>
          </c:cat>
          <c:val>
            <c:numRef>
              <c:f>'Eğitim Adam Saat'!$I$25:$I$27</c:f>
              <c:numCache>
                <c:formatCode>0%</c:formatCode>
                <c:ptCount val="3"/>
                <c:pt idx="0">
                  <c:v>0</c:v>
                </c:pt>
                <c:pt idx="1">
                  <c:v>1.0500000000000001E-2</c:v>
                </c:pt>
                <c:pt idx="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4-4331-9EFF-5F40114B4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İŞ</a:t>
            </a:r>
            <a:r>
              <a:rPr lang="tr-TR" sz="1200" baseline="0"/>
              <a:t> KAZASI ADEDİ</a:t>
            </a:r>
            <a:endParaRPr lang="tr-TR" sz="1200"/>
          </a:p>
        </c:rich>
      </c:tx>
      <c:layout>
        <c:manualLayout>
          <c:xMode val="edge"/>
          <c:yMode val="edge"/>
          <c:x val="8.8801972754511491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247444076454437"/>
          <c:w val="0.87399807524060102"/>
          <c:h val="0.55214693686422101"/>
        </c:manualLayout>
      </c:layout>
      <c:barChart>
        <c:barDir val="col"/>
        <c:grouping val="clustered"/>
        <c:varyColors val="0"/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'İş Kazası Adedi'!$C$3:$P$3</c:f>
              <c:numCache>
                <c:formatCode>0.00</c:formatCode>
                <c:ptCount val="14"/>
                <c:pt idx="1">
                  <c:v>0.13833333333333334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B-4BF3-9620-8056C102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9297352"/>
        <c:axId val="-2129294280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'İş Kazası Adedi'!$C$1:$P$1</c:f>
              <c:strCache>
                <c:ptCount val="14"/>
                <c:pt idx="1">
                  <c:v>2025ORT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'İş Kazası Adedi'!$C$2:$P$2</c:f>
              <c:numCache>
                <c:formatCode>0</c:formatCode>
                <c:ptCount val="14"/>
                <c:pt idx="2">
                  <c:v>0.34</c:v>
                </c:pt>
                <c:pt idx="3">
                  <c:v>0.32</c:v>
                </c:pt>
                <c:pt idx="4">
                  <c:v>0.34</c:v>
                </c:pt>
                <c:pt idx="5">
                  <c:v>0.32</c:v>
                </c:pt>
                <c:pt idx="6">
                  <c:v>0.34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B-4BF3-9620-8056C102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9297352"/>
        <c:axId val="-2129294280"/>
      </c:lineChart>
      <c:catAx>
        <c:axId val="-2129297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9294280"/>
        <c:crosses val="autoZero"/>
        <c:auto val="1"/>
        <c:lblAlgn val="ctr"/>
        <c:lblOffset val="100"/>
        <c:noMultiLvlLbl val="0"/>
      </c:catAx>
      <c:valAx>
        <c:axId val="-212929428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-2129297352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BÖLÜM</a:t>
            </a:r>
            <a:r>
              <a:rPr lang="tr-TR" baseline="0"/>
              <a:t> BAZLI İŞ KAZASI ADEDİ</a:t>
            </a:r>
            <a:endParaRPr lang="tr-TR"/>
          </a:p>
        </c:rich>
      </c:tx>
      <c:layout>
        <c:manualLayout>
          <c:xMode val="edge"/>
          <c:yMode val="edge"/>
          <c:x val="6.8317768418482195E-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2197501841046849E-2"/>
          <c:y val="0.15938456323096598"/>
          <c:w val="0.93828328145028395"/>
          <c:h val="0.590419649248388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'İş Kazası Adedi'!$B$23:$M$23</c:f>
              <c:strCache>
                <c:ptCount val="12"/>
                <c:pt idx="0">
                  <c:v>OPERATÖR</c:v>
                </c:pt>
                <c:pt idx="1">
                  <c:v>ÇAPAK</c:v>
                </c:pt>
                <c:pt idx="2">
                  <c:v>AKSESUAR</c:v>
                </c:pt>
                <c:pt idx="3">
                  <c:v>PAKETLEME</c:v>
                </c:pt>
                <c:pt idx="4">
                  <c:v>DEPO</c:v>
                </c:pt>
                <c:pt idx="5">
                  <c:v>İDARİ İŞLER</c:v>
                </c:pt>
                <c:pt idx="6">
                  <c:v>BEYAZ YAKA</c:v>
                </c:pt>
                <c:pt idx="11">
                  <c:v>Diğer</c:v>
                </c:pt>
              </c:strCache>
            </c:strRef>
          </c:cat>
          <c:val>
            <c:numRef>
              <c:f>'İş Kazası Adedi'!$B$27:$M$27</c:f>
              <c:numCache>
                <c:formatCode>0</c:formatCode>
                <c:ptCount val="12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6-4121-836D-A84F026E5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2129339912"/>
        <c:axId val="-2129336840"/>
      </c:barChart>
      <c:catAx>
        <c:axId val="-2129339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-2129336840"/>
        <c:crosses val="autoZero"/>
        <c:auto val="1"/>
        <c:lblAlgn val="ctr"/>
        <c:lblOffset val="100"/>
        <c:noMultiLvlLbl val="0"/>
      </c:catAx>
      <c:valAx>
        <c:axId val="-212933684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crossAx val="-2129339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tr-TR" sz="1400"/>
              <a:t>İÇ</a:t>
            </a:r>
            <a:r>
              <a:rPr lang="tr-TR" sz="1400" baseline="0"/>
              <a:t> TERFİ ORANI</a:t>
            </a:r>
          </a:p>
        </c:rich>
      </c:tx>
      <c:layout>
        <c:manualLayout>
          <c:xMode val="edge"/>
          <c:yMode val="edge"/>
          <c:x val="1.08333333333333E-3"/>
          <c:y val="1.38888888888889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'İç Terfi Oranı'!$A$3:$A$13</c:f>
              <c:strCache>
                <c:ptCount val="4"/>
                <c:pt idx="0">
                  <c:v>2025/1</c:v>
                </c:pt>
                <c:pt idx="1">
                  <c:v>2025/2</c:v>
                </c:pt>
                <c:pt idx="2">
                  <c:v>2025/3</c:v>
                </c:pt>
                <c:pt idx="3">
                  <c:v>2025/4</c:v>
                </c:pt>
              </c:strCache>
            </c:strRef>
          </c:cat>
          <c:val>
            <c:numRef>
              <c:f>'İç Terfi Oranı'!$D$3:$D$13</c:f>
              <c:numCache>
                <c:formatCode>0.00%</c:formatCode>
                <c:ptCount val="11"/>
                <c:pt idx="0">
                  <c:v>5.6666666666666664E-2</c:v>
                </c:pt>
                <c:pt idx="1">
                  <c:v>1.877133105802048E-2</c:v>
                </c:pt>
                <c:pt idx="2">
                  <c:v>5.1813471502590676E-3</c:v>
                </c:pt>
                <c:pt idx="3">
                  <c:v>1.4005602240896359E-2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F-4737-BE69-CD5C2440F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29374344"/>
        <c:axId val="-2129371304"/>
      </c:lineChart>
      <c:catAx>
        <c:axId val="-2129374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29371304"/>
        <c:crosses val="autoZero"/>
        <c:auto val="1"/>
        <c:lblAlgn val="ctr"/>
        <c:lblOffset val="100"/>
        <c:noMultiLvlLbl val="0"/>
      </c:catAx>
      <c:valAx>
        <c:axId val="-212937130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-2129374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BOŞ KADRO DOLDURMA 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5748031495999"/>
          <c:y val="0.31982480107967598"/>
          <c:w val="0.87399807524060102"/>
          <c:h val="0.47976618064697801"/>
        </c:manualLayout>
      </c:layout>
      <c:barChart>
        <c:barDir val="col"/>
        <c:grouping val="clustered"/>
        <c:varyColors val="0"/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'Boş Kadro Doldurma Oranı'!$B$4:$O$4</c:f>
              <c:numCache>
                <c:formatCode>0.0%</c:formatCode>
                <c:ptCount val="1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F-44C7-8D47-BECA36337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9444664"/>
        <c:axId val="-2129491784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'Boş Kadro Doldurma Oranı'!$B$2:$O$2</c:f>
              <c:strCache>
                <c:ptCount val="14"/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'Boş Kadro Doldurma Oranı'!$B$3:$O$3</c:f>
              <c:numCache>
                <c:formatCode>0.0%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2F-44C7-8D47-BECA36337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9444664"/>
        <c:axId val="-2129491784"/>
      </c:lineChart>
      <c:catAx>
        <c:axId val="-2129444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9491784"/>
        <c:crosses val="autoZero"/>
        <c:auto val="1"/>
        <c:lblAlgn val="ctr"/>
        <c:lblOffset val="100"/>
        <c:noMultiLvlLbl val="0"/>
      </c:catAx>
      <c:valAx>
        <c:axId val="-2129491784"/>
        <c:scaling>
          <c:orientation val="minMax"/>
          <c:max val="1"/>
          <c:min val="0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-2129444664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GÖRÜŞMEYE ÇAĞIRILAN, GÖRÜŞÜLEN, İŞE ALINAN</a:t>
            </a:r>
          </a:p>
          <a:p>
            <a:pPr>
              <a:defRPr/>
            </a:pPr>
            <a:r>
              <a:rPr lang="tr-TR"/>
              <a:t>PERSONEL SAYISI</a:t>
            </a:r>
          </a:p>
        </c:rich>
      </c:tx>
      <c:layout>
        <c:manualLayout>
          <c:xMode val="edge"/>
          <c:yMode val="edge"/>
          <c:x val="2.8899304130855399E-3"/>
          <c:y val="4.62962962962963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8.6071741032370905E-2"/>
          <c:y val="0.23195610965296001"/>
          <c:w val="0.92004159857376322"/>
          <c:h val="0.65206401283172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'Görüşme, İşe Alım Adedi'!$B$2</c:f>
              <c:strCache>
                <c:ptCount val="1"/>
                <c:pt idx="0">
                  <c:v>GÖRÜŞMEYE ÇAĞRILAN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'Görüşme, İşe Alım Adedi'!$A$3:$A$17</c:f>
              <c:strCache>
                <c:ptCount val="12"/>
                <c:pt idx="0">
                  <c:v>2025-OCAK</c:v>
                </c:pt>
                <c:pt idx="1">
                  <c:v>2025-ŞUBAT</c:v>
                </c:pt>
                <c:pt idx="2">
                  <c:v>2025-MART</c:v>
                </c:pt>
                <c:pt idx="3">
                  <c:v>2025-NİSAN</c:v>
                </c:pt>
                <c:pt idx="4">
                  <c:v>2025-MAYIS</c:v>
                </c:pt>
                <c:pt idx="5">
                  <c:v>2025-HAZİRAN</c:v>
                </c:pt>
                <c:pt idx="6">
                  <c:v>2025-TEMMUZ</c:v>
                </c:pt>
                <c:pt idx="7">
                  <c:v>2025- AĞUSTOS</c:v>
                </c:pt>
                <c:pt idx="8">
                  <c:v>2025- EYLÜL</c:v>
                </c:pt>
                <c:pt idx="9">
                  <c:v>2025-EKİM</c:v>
                </c:pt>
                <c:pt idx="10">
                  <c:v>2025 KASIM</c:v>
                </c:pt>
                <c:pt idx="11">
                  <c:v>2025 ARALIK</c:v>
                </c:pt>
              </c:strCache>
            </c:strRef>
          </c:cat>
          <c:val>
            <c:numRef>
              <c:f>'Görüşme, İşe Alım Adedi'!$B$3:$B$17</c:f>
              <c:numCache>
                <c:formatCode>General</c:formatCode>
                <c:ptCount val="12"/>
                <c:pt idx="0">
                  <c:v>60</c:v>
                </c:pt>
                <c:pt idx="1">
                  <c:v>45</c:v>
                </c:pt>
                <c:pt idx="2">
                  <c:v>15</c:v>
                </c:pt>
                <c:pt idx="3">
                  <c:v>80</c:v>
                </c:pt>
                <c:pt idx="4">
                  <c:v>30</c:v>
                </c:pt>
                <c:pt idx="5">
                  <c:v>40</c:v>
                </c:pt>
                <c:pt idx="6">
                  <c:v>11</c:v>
                </c:pt>
                <c:pt idx="7">
                  <c:v>23</c:v>
                </c:pt>
                <c:pt idx="8">
                  <c:v>67</c:v>
                </c:pt>
                <c:pt idx="9">
                  <c:v>50</c:v>
                </c:pt>
                <c:pt idx="10">
                  <c:v>110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2-4F4D-B7A2-557494A06622}"/>
            </c:ext>
          </c:extLst>
        </c:ser>
        <c:ser>
          <c:idx val="1"/>
          <c:order val="1"/>
          <c:tx>
            <c:strRef>
              <c:f>'Görüşme, İşe Alım Adedi'!$C$2</c:f>
              <c:strCache>
                <c:ptCount val="1"/>
                <c:pt idx="0">
                  <c:v>GÖRÜŞÜLEN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'Görüşme, İşe Alım Adedi'!$A$3:$A$17</c:f>
              <c:strCache>
                <c:ptCount val="12"/>
                <c:pt idx="0">
                  <c:v>2025-OCAK</c:v>
                </c:pt>
                <c:pt idx="1">
                  <c:v>2025-ŞUBAT</c:v>
                </c:pt>
                <c:pt idx="2">
                  <c:v>2025-MART</c:v>
                </c:pt>
                <c:pt idx="3">
                  <c:v>2025-NİSAN</c:v>
                </c:pt>
                <c:pt idx="4">
                  <c:v>2025-MAYIS</c:v>
                </c:pt>
                <c:pt idx="5">
                  <c:v>2025-HAZİRAN</c:v>
                </c:pt>
                <c:pt idx="6">
                  <c:v>2025-TEMMUZ</c:v>
                </c:pt>
                <c:pt idx="7">
                  <c:v>2025- AĞUSTOS</c:v>
                </c:pt>
                <c:pt idx="8">
                  <c:v>2025- EYLÜL</c:v>
                </c:pt>
                <c:pt idx="9">
                  <c:v>2025-EKİM</c:v>
                </c:pt>
                <c:pt idx="10">
                  <c:v>2025 KASIM</c:v>
                </c:pt>
                <c:pt idx="11">
                  <c:v>2025 ARALIK</c:v>
                </c:pt>
              </c:strCache>
            </c:strRef>
          </c:cat>
          <c:val>
            <c:numRef>
              <c:f>'Görüşme, İşe Alım Adedi'!$C$3:$C$17</c:f>
              <c:numCache>
                <c:formatCode>General</c:formatCode>
                <c:ptCount val="12"/>
                <c:pt idx="0">
                  <c:v>55</c:v>
                </c:pt>
                <c:pt idx="1">
                  <c:v>40</c:v>
                </c:pt>
                <c:pt idx="2">
                  <c:v>9</c:v>
                </c:pt>
                <c:pt idx="3">
                  <c:v>55</c:v>
                </c:pt>
                <c:pt idx="4">
                  <c:v>25</c:v>
                </c:pt>
                <c:pt idx="5">
                  <c:v>35</c:v>
                </c:pt>
                <c:pt idx="6">
                  <c:v>11</c:v>
                </c:pt>
                <c:pt idx="7">
                  <c:v>20</c:v>
                </c:pt>
                <c:pt idx="8">
                  <c:v>59</c:v>
                </c:pt>
                <c:pt idx="9">
                  <c:v>40</c:v>
                </c:pt>
                <c:pt idx="10">
                  <c:v>65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2-4F4D-B7A2-557494A06622}"/>
            </c:ext>
          </c:extLst>
        </c:ser>
        <c:ser>
          <c:idx val="2"/>
          <c:order val="2"/>
          <c:tx>
            <c:strRef>
              <c:f>'Görüşme, İşe Alım Adedi'!$D$2</c:f>
              <c:strCache>
                <c:ptCount val="1"/>
                <c:pt idx="0">
                  <c:v>İŞE ALINAN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'Görüşme, İşe Alım Adedi'!$A$3:$A$17</c:f>
              <c:strCache>
                <c:ptCount val="12"/>
                <c:pt idx="0">
                  <c:v>2025-OCAK</c:v>
                </c:pt>
                <c:pt idx="1">
                  <c:v>2025-ŞUBAT</c:v>
                </c:pt>
                <c:pt idx="2">
                  <c:v>2025-MART</c:v>
                </c:pt>
                <c:pt idx="3">
                  <c:v>2025-NİSAN</c:v>
                </c:pt>
                <c:pt idx="4">
                  <c:v>2025-MAYIS</c:v>
                </c:pt>
                <c:pt idx="5">
                  <c:v>2025-HAZİRAN</c:v>
                </c:pt>
                <c:pt idx="6">
                  <c:v>2025-TEMMUZ</c:v>
                </c:pt>
                <c:pt idx="7">
                  <c:v>2025- AĞUSTOS</c:v>
                </c:pt>
                <c:pt idx="8">
                  <c:v>2025- EYLÜL</c:v>
                </c:pt>
                <c:pt idx="9">
                  <c:v>2025-EKİM</c:v>
                </c:pt>
                <c:pt idx="10">
                  <c:v>2025 KASIM</c:v>
                </c:pt>
                <c:pt idx="11">
                  <c:v>2025 ARALIK</c:v>
                </c:pt>
              </c:strCache>
            </c:strRef>
          </c:cat>
          <c:val>
            <c:numRef>
              <c:f>'Görüşme, İşe Alım Adedi'!$D$3:$D$17</c:f>
              <c:numCache>
                <c:formatCode>General</c:formatCode>
                <c:ptCount val="12"/>
                <c:pt idx="0">
                  <c:v>36</c:v>
                </c:pt>
                <c:pt idx="1">
                  <c:v>35</c:v>
                </c:pt>
                <c:pt idx="2">
                  <c:v>5</c:v>
                </c:pt>
                <c:pt idx="3">
                  <c:v>35</c:v>
                </c:pt>
                <c:pt idx="4">
                  <c:v>17</c:v>
                </c:pt>
                <c:pt idx="5">
                  <c:v>23</c:v>
                </c:pt>
                <c:pt idx="6">
                  <c:v>8</c:v>
                </c:pt>
                <c:pt idx="7">
                  <c:v>11</c:v>
                </c:pt>
                <c:pt idx="8">
                  <c:v>45</c:v>
                </c:pt>
                <c:pt idx="9">
                  <c:v>30</c:v>
                </c:pt>
                <c:pt idx="10">
                  <c:v>49</c:v>
                </c:pt>
                <c:pt idx="1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12-4F4D-B7A2-557494A06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29535656"/>
        <c:axId val="-2129532600"/>
      </c:barChart>
      <c:catAx>
        <c:axId val="-212953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2129532600"/>
        <c:crosses val="autoZero"/>
        <c:auto val="1"/>
        <c:lblAlgn val="ctr"/>
        <c:lblOffset val="100"/>
        <c:noMultiLvlLbl val="0"/>
      </c:catAx>
      <c:valAx>
        <c:axId val="-212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212953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534183774174685"/>
          <c:y val="0.14479849593268923"/>
          <c:w val="0.55075768767154576"/>
          <c:h val="7.9787792483386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2025 YILI KURUM CİNSİYET DAĞILIMI</a:t>
            </a:r>
          </a:p>
        </c:rich>
      </c:tx>
      <c:layout>
        <c:manualLayout>
          <c:xMode val="edge"/>
          <c:yMode val="edge"/>
          <c:x val="6.3055555555555599E-3"/>
          <c:y val="1.85185185185185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tr-T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'Cinsiyet Dağılımı'!$A$3:$A$4</c:f>
              <c:strCache>
                <c:ptCount val="2"/>
                <c:pt idx="0">
                  <c:v>Erkek</c:v>
                </c:pt>
                <c:pt idx="1">
                  <c:v>Kadın</c:v>
                </c:pt>
              </c:strCache>
            </c:strRef>
          </c:cat>
          <c:val>
            <c:numRef>
              <c:f>'Cinsiyet Dağılımı'!$C$3:$C$4</c:f>
              <c:numCache>
                <c:formatCode>0%</c:formatCode>
                <c:ptCount val="2"/>
                <c:pt idx="0">
                  <c:v>0.72929292929292933</c:v>
                </c:pt>
                <c:pt idx="1">
                  <c:v>0.27070707070707073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3-49C5-9186-829B9B440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tr-TR" sz="1400"/>
              <a:t>2025 YILI KURUM YAŞA GÖRE DAĞILIM</a:t>
            </a:r>
          </a:p>
        </c:rich>
      </c:tx>
      <c:layout>
        <c:manualLayout>
          <c:xMode val="edge"/>
          <c:yMode val="edge"/>
          <c:x val="1.9026684164479501E-3"/>
          <c:y val="0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tr-T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'Kurum Yaş Ortalaması'!$B$29:$G$29</c:f>
              <c:strCache>
                <c:ptCount val="6"/>
                <c:pt idx="0">
                  <c:v>18-25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41-45</c:v>
                </c:pt>
                <c:pt idx="5">
                  <c:v>46-ÜSTÜ</c:v>
                </c:pt>
              </c:strCache>
            </c:strRef>
          </c:cat>
          <c:val>
            <c:numRef>
              <c:f>'Kurum Yaş Ortalaması'!$B$31:$G$31</c:f>
              <c:numCache>
                <c:formatCode>0.0%</c:formatCode>
                <c:ptCount val="6"/>
                <c:pt idx="0">
                  <c:v>0.40420560747663553</c:v>
                </c:pt>
                <c:pt idx="1">
                  <c:v>0.2102803738317757</c:v>
                </c:pt>
                <c:pt idx="2">
                  <c:v>0.15654205607476634</c:v>
                </c:pt>
                <c:pt idx="3">
                  <c:v>7.476635514018691E-2</c:v>
                </c:pt>
                <c:pt idx="4">
                  <c:v>3.0373831775700934E-2</c:v>
                </c:pt>
                <c:pt idx="5">
                  <c:v>0.12383177570093458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F-4446-B74B-F015806E2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tr-TR" sz="1400"/>
              <a:t>KURUM YAŞ ORTALAMASI</a:t>
            </a:r>
            <a:endParaRPr lang="tr-TR" sz="1400" baseline="0"/>
          </a:p>
        </c:rich>
      </c:tx>
      <c:layout>
        <c:manualLayout>
          <c:xMode val="edge"/>
          <c:yMode val="edge"/>
          <c:x val="1.08333333333333E-3"/>
          <c:y val="1.38888888888889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'Kurum Yaş Ortalaması'!$A$3:$A$12</c:f>
              <c:strCache>
                <c:ptCount val="9"/>
                <c:pt idx="0">
                  <c:v>2025 NİSAN</c:v>
                </c:pt>
                <c:pt idx="1">
                  <c:v>2025 MAYIS</c:v>
                </c:pt>
                <c:pt idx="2">
                  <c:v>2025 HAZİRAN</c:v>
                </c:pt>
                <c:pt idx="3">
                  <c:v>2025 TEMMUZ</c:v>
                </c:pt>
                <c:pt idx="4">
                  <c:v>2025 AĞUSTOS</c:v>
                </c:pt>
                <c:pt idx="5">
                  <c:v>2025 EYLÜL</c:v>
                </c:pt>
                <c:pt idx="6">
                  <c:v>2025  EKİM</c:v>
                </c:pt>
                <c:pt idx="7">
                  <c:v>2025 KASIM</c:v>
                </c:pt>
                <c:pt idx="8">
                  <c:v>2025 ARALIK</c:v>
                </c:pt>
              </c:strCache>
            </c:strRef>
          </c:cat>
          <c:val>
            <c:numRef>
              <c:f>'Kurum Yaş Ortalaması'!$D$3:$D$12</c:f>
              <c:numCache>
                <c:formatCode>0.0</c:formatCode>
                <c:ptCount val="10"/>
                <c:pt idx="0">
                  <c:v>25.549915397631132</c:v>
                </c:pt>
                <c:pt idx="1">
                  <c:v>26.595394736842106</c:v>
                </c:pt>
                <c:pt idx="2">
                  <c:v>27.730375426621162</c:v>
                </c:pt>
                <c:pt idx="3">
                  <c:v>31.17910447761194</c:v>
                </c:pt>
                <c:pt idx="4">
                  <c:v>30.415343915343914</c:v>
                </c:pt>
                <c:pt idx="5">
                  <c:v>28.760362694300518</c:v>
                </c:pt>
                <c:pt idx="6">
                  <c:v>35.309241379310343</c:v>
                </c:pt>
                <c:pt idx="7">
                  <c:v>31.11013927576602</c:v>
                </c:pt>
                <c:pt idx="8">
                  <c:v>25.627196261682244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B-4E1D-B765-6310D740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800376"/>
        <c:axId val="1736449880"/>
      </c:lineChart>
      <c:catAx>
        <c:axId val="1736800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6449880"/>
        <c:crosses val="autoZero"/>
        <c:auto val="1"/>
        <c:lblAlgn val="ctr"/>
        <c:lblOffset val="100"/>
        <c:noMultiLvlLbl val="0"/>
      </c:catAx>
      <c:valAx>
        <c:axId val="1736449880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1736800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KURUM</a:t>
            </a:r>
            <a:r>
              <a:rPr lang="tr-TR" baseline="0"/>
              <a:t> EĞİTİM DURUMU</a:t>
            </a:r>
            <a:endParaRPr lang="tr-TR"/>
          </a:p>
        </c:rich>
      </c:tx>
      <c:layout>
        <c:manualLayout>
          <c:xMode val="edge"/>
          <c:yMode val="edge"/>
          <c:x val="5.8263342082239796E-3"/>
          <c:y val="0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'Kurum Eğitim Durumu'!$A$3:$A$7</c:f>
              <c:strCache>
                <c:ptCount val="5"/>
                <c:pt idx="0">
                  <c:v>İLKOKUL</c:v>
                </c:pt>
                <c:pt idx="1">
                  <c:v>ORTAOKUL</c:v>
                </c:pt>
                <c:pt idx="2">
                  <c:v>LİSE</c:v>
                </c:pt>
                <c:pt idx="3">
                  <c:v>MESLEK YÜKSEK OKULU</c:v>
                </c:pt>
                <c:pt idx="4">
                  <c:v>ÜNİVERSİTE</c:v>
                </c:pt>
              </c:strCache>
            </c:strRef>
          </c:cat>
          <c:val>
            <c:numRef>
              <c:f>'Kurum Eğitim Durumu'!$C$3:$C$7</c:f>
              <c:numCache>
                <c:formatCode>0%</c:formatCode>
                <c:ptCount val="5"/>
                <c:pt idx="0">
                  <c:v>0.14485981308411214</c:v>
                </c:pt>
                <c:pt idx="1">
                  <c:v>0.17056074766355139</c:v>
                </c:pt>
                <c:pt idx="2">
                  <c:v>0.48598130841121495</c:v>
                </c:pt>
                <c:pt idx="3">
                  <c:v>8.1775700934579434E-2</c:v>
                </c:pt>
                <c:pt idx="4">
                  <c:v>0.11682242990654206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6-4906-A57F-2A0049C5E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KURUM ENTELEKTÜEL KAPASİTE RAPORU</a:t>
            </a:r>
          </a:p>
        </c:rich>
      </c:tx>
      <c:layout>
        <c:manualLayout>
          <c:xMode val="edge"/>
          <c:yMode val="edge"/>
          <c:x val="5.99300087489066E-3"/>
          <c:y val="1.3888888888888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'Entelektüel Kap. Raporu'!$A$3:$A$8</c:f>
              <c:strCache>
                <c:ptCount val="6"/>
                <c:pt idx="0">
                  <c:v>TEKSTİL MÜHENDİSİ</c:v>
                </c:pt>
                <c:pt idx="1">
                  <c:v>MAKİNE MÜHENDİSİ</c:v>
                </c:pt>
                <c:pt idx="2">
                  <c:v>ENDÜSTRİ MÜHENDİSİ</c:v>
                </c:pt>
                <c:pt idx="3">
                  <c:v>KİMYA MÜHENDİSİ</c:v>
                </c:pt>
                <c:pt idx="4">
                  <c:v>DİĞER ÜNİVERSİTE MEZUNLARI</c:v>
                </c:pt>
                <c:pt idx="5">
                  <c:v>TEKNİKER</c:v>
                </c:pt>
              </c:strCache>
            </c:strRef>
          </c:cat>
          <c:val>
            <c:numRef>
              <c:f>'Entelektüel Kap. Raporu'!$B$3:$B$8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50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9-402C-BF21-EC52FF51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371576"/>
        <c:axId val="1737374584"/>
      </c:barChart>
      <c:catAx>
        <c:axId val="1737371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737374584"/>
        <c:crosses val="autoZero"/>
        <c:auto val="1"/>
        <c:lblAlgn val="ctr"/>
        <c:lblOffset val="100"/>
        <c:noMultiLvlLbl val="0"/>
      </c:catAx>
      <c:valAx>
        <c:axId val="1737374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37371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tr-TR" sz="1200"/>
              <a:t>SERVİS DOLULUK ORANI</a:t>
            </a:r>
          </a:p>
        </c:rich>
      </c:tx>
      <c:layout>
        <c:manualLayout>
          <c:xMode val="edge"/>
          <c:yMode val="edge"/>
          <c:x val="7.5719226548044399E-3"/>
          <c:y val="1.235521135356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6852069023287"/>
          <c:y val="0.20625998568360773"/>
          <c:w val="0.87399807524060102"/>
          <c:h val="0.59333097470943097"/>
        </c:manualLayout>
      </c:layout>
      <c:barChart>
        <c:barDir val="col"/>
        <c:grouping val="clustered"/>
        <c:varyColors val="0"/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'Servis Doluluk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'Servis Doluluk Oranı'!$B$4:$O$4</c:f>
              <c:numCache>
                <c:formatCode>0.0%</c:formatCode>
                <c:ptCount val="14"/>
                <c:pt idx="1">
                  <c:v>0.50999166666666673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5-432C-842E-4CB4454D5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338200"/>
        <c:axId val="1737341272"/>
      </c:barChart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/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'Servis Doluluk Oranı'!$B$2:$O$2</c:f>
              <c:strCache>
                <c:ptCount val="14"/>
                <c:pt idx="0">
                  <c:v>2024</c:v>
                </c:pt>
                <c:pt idx="1">
                  <c:v>2025 ORT</c:v>
                </c:pt>
                <c:pt idx="2">
                  <c:v>OCAK</c:v>
                </c:pt>
                <c:pt idx="3">
                  <c:v>ŞUBAT</c:v>
                </c:pt>
                <c:pt idx="4">
                  <c:v>MART</c:v>
                </c:pt>
                <c:pt idx="5">
                  <c:v>NİSAN</c:v>
                </c:pt>
                <c:pt idx="6">
                  <c:v>MAYIS</c:v>
                </c:pt>
                <c:pt idx="7">
                  <c:v>HAZİRAN</c:v>
                </c:pt>
                <c:pt idx="8">
                  <c:v>TEMMUZ</c:v>
                </c:pt>
                <c:pt idx="9">
                  <c:v>AĞUSTOS</c:v>
                </c:pt>
                <c:pt idx="10">
                  <c:v>EYLÜL</c:v>
                </c:pt>
                <c:pt idx="11">
                  <c:v>EKİM</c:v>
                </c:pt>
                <c:pt idx="12">
                  <c:v>KASIM</c:v>
                </c:pt>
                <c:pt idx="13">
                  <c:v>ARALIK</c:v>
                </c:pt>
              </c:strCache>
            </c:strRef>
          </c:cat>
          <c:val>
            <c:numRef>
              <c:f>'Servis Doluluk Oranı'!$B$3:$O$3</c:f>
              <c:numCache>
                <c:formatCode>0.0%</c:formatCode>
                <c:ptCount val="14"/>
                <c:pt idx="2">
                  <c:v>0.61319999999999997</c:v>
                </c:pt>
                <c:pt idx="3">
                  <c:v>0.61539999999999995</c:v>
                </c:pt>
                <c:pt idx="4">
                  <c:v>0.61299999999999999</c:v>
                </c:pt>
                <c:pt idx="5">
                  <c:v>0.62160000000000004</c:v>
                </c:pt>
                <c:pt idx="6">
                  <c:v>0.60399999999999998</c:v>
                </c:pt>
                <c:pt idx="7">
                  <c:v>0.59799999999999998</c:v>
                </c:pt>
                <c:pt idx="8">
                  <c:v>0.64229999999999998</c:v>
                </c:pt>
                <c:pt idx="9">
                  <c:v>0.88729999999999998</c:v>
                </c:pt>
                <c:pt idx="10">
                  <c:v>0.89880000000000004</c:v>
                </c:pt>
                <c:pt idx="11">
                  <c:v>8.3999999999999995E-3</c:v>
                </c:pt>
                <c:pt idx="12">
                  <c:v>8.8000000000000005E-3</c:v>
                </c:pt>
                <c:pt idx="13">
                  <c:v>9.1000000000000004E-3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5-432C-842E-4CB4454D5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38200"/>
        <c:axId val="1737341272"/>
      </c:lineChart>
      <c:catAx>
        <c:axId val="1737338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737341272"/>
        <c:crosses val="autoZero"/>
        <c:auto val="1"/>
        <c:lblAlgn val="ctr"/>
        <c:lblOffset val="100"/>
        <c:noMultiLvlLbl val="0"/>
      </c:catAx>
      <c:valAx>
        <c:axId val="1737341272"/>
        <c:scaling>
          <c:orientation val="minMax"/>
          <c:max val="1.2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737338200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 orientation="portrait"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tr-TR" sz="1100"/>
              <a:t>DİREK ENDİREK PERSONEL ORANI</a:t>
            </a:r>
          </a:p>
        </c:rich>
      </c:tx>
      <c:layout>
        <c:manualLayout>
          <c:xMode val="edge"/>
          <c:yMode val="edge"/>
          <c:x val="2.8899304130855399E-3"/>
          <c:y val="4.629629629629630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071741032370905E-2"/>
          <c:y val="0.23195610965296001"/>
          <c:w val="0.90113791360542606"/>
          <c:h val="0.65206401283172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'Direk Endirek Personel Oranı'!$B$2</c:f>
              <c:strCache>
                <c:ptCount val="1"/>
                <c:pt idx="0">
                  <c:v>DİREK ORANI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'Direk Endirek Personel Oranı'!$A$3:$A$14</c:f>
              <c:strCache>
                <c:ptCount val="12"/>
                <c:pt idx="0">
                  <c:v>2025-OCAK</c:v>
                </c:pt>
                <c:pt idx="1">
                  <c:v>2025-ŞUBAT</c:v>
                </c:pt>
                <c:pt idx="2">
                  <c:v>2025-MART</c:v>
                </c:pt>
                <c:pt idx="3">
                  <c:v>2025-NİSAN</c:v>
                </c:pt>
                <c:pt idx="4">
                  <c:v>2025-MAYIS</c:v>
                </c:pt>
                <c:pt idx="5">
                  <c:v>2025-HAZİRAN</c:v>
                </c:pt>
                <c:pt idx="6">
                  <c:v>2025-TEMMUZ</c:v>
                </c:pt>
                <c:pt idx="7">
                  <c:v>2025-AĞUSTOS</c:v>
                </c:pt>
                <c:pt idx="8">
                  <c:v>2025 - EYLÜL</c:v>
                </c:pt>
                <c:pt idx="9">
                  <c:v>2025-EKİM</c:v>
                </c:pt>
                <c:pt idx="10">
                  <c:v>2025-KASIM</c:v>
                </c:pt>
                <c:pt idx="11">
                  <c:v>2025-ARALIK</c:v>
                </c:pt>
              </c:strCache>
            </c:strRef>
          </c:cat>
          <c:val>
            <c:numRef>
              <c:f>'Direk Endirek Personel Oranı'!$B$3:$B$14</c:f>
              <c:numCache>
                <c:formatCode>General</c:formatCode>
                <c:ptCount val="12"/>
                <c:pt idx="0">
                  <c:v>93.34</c:v>
                </c:pt>
                <c:pt idx="1">
                  <c:v>93.3</c:v>
                </c:pt>
                <c:pt idx="2">
                  <c:v>92.9</c:v>
                </c:pt>
                <c:pt idx="3">
                  <c:v>90.96</c:v>
                </c:pt>
                <c:pt idx="4">
                  <c:v>90.78</c:v>
                </c:pt>
                <c:pt idx="5">
                  <c:v>89.76</c:v>
                </c:pt>
                <c:pt idx="6">
                  <c:v>87.16</c:v>
                </c:pt>
                <c:pt idx="7">
                  <c:v>85.71</c:v>
                </c:pt>
                <c:pt idx="8">
                  <c:v>88.08</c:v>
                </c:pt>
                <c:pt idx="9">
                  <c:v>94.47</c:v>
                </c:pt>
                <c:pt idx="10">
                  <c:v>92.4</c:v>
                </c:pt>
                <c:pt idx="11">
                  <c:v>93.62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7-453A-B4C1-A881FFC5EEE6}"/>
            </c:ext>
          </c:extLst>
        </c:ser>
        <c:ser>
          <c:idx val="1"/>
          <c:order val="1"/>
          <c:tx>
            <c:strRef>
              <c:f>'Direk Endirek Personel Oranı'!$C$2</c:f>
              <c:strCache>
                <c:ptCount val="1"/>
                <c:pt idx="0">
                  <c:v>ENDİREK ORANI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'Direk Endirek Personel Oranı'!$A$3:$A$14</c:f>
              <c:strCache>
                <c:ptCount val="12"/>
                <c:pt idx="0">
                  <c:v>2025-OCAK</c:v>
                </c:pt>
                <c:pt idx="1">
                  <c:v>2025-ŞUBAT</c:v>
                </c:pt>
                <c:pt idx="2">
                  <c:v>2025-MART</c:v>
                </c:pt>
                <c:pt idx="3">
                  <c:v>2025-NİSAN</c:v>
                </c:pt>
                <c:pt idx="4">
                  <c:v>2025-MAYIS</c:v>
                </c:pt>
                <c:pt idx="5">
                  <c:v>2025-HAZİRAN</c:v>
                </c:pt>
                <c:pt idx="6">
                  <c:v>2025-TEMMUZ</c:v>
                </c:pt>
                <c:pt idx="7">
                  <c:v>2025-AĞUSTOS</c:v>
                </c:pt>
                <c:pt idx="8">
                  <c:v>2025 - EYLÜL</c:v>
                </c:pt>
                <c:pt idx="9">
                  <c:v>2025-EKİM</c:v>
                </c:pt>
                <c:pt idx="10">
                  <c:v>2025-KASIM</c:v>
                </c:pt>
                <c:pt idx="11">
                  <c:v>2025-ARALIK</c:v>
                </c:pt>
              </c:strCache>
            </c:strRef>
          </c:cat>
          <c:val>
            <c:numRef>
              <c:f>'Direk Endirek Personel Oranı'!$C$3:$C$14</c:f>
              <c:numCache>
                <c:formatCode>General</c:formatCode>
                <c:ptCount val="12"/>
                <c:pt idx="0">
                  <c:v>6.66</c:v>
                </c:pt>
                <c:pt idx="1">
                  <c:v>6.7</c:v>
                </c:pt>
                <c:pt idx="2">
                  <c:v>7.1</c:v>
                </c:pt>
                <c:pt idx="3">
                  <c:v>9.0299999999999994</c:v>
                </c:pt>
                <c:pt idx="4">
                  <c:v>9.0299999999999994</c:v>
                </c:pt>
                <c:pt idx="5">
                  <c:v>10.23</c:v>
                </c:pt>
                <c:pt idx="6">
                  <c:v>12.83</c:v>
                </c:pt>
                <c:pt idx="7">
                  <c:v>14.5</c:v>
                </c:pt>
                <c:pt idx="8">
                  <c:v>11.91</c:v>
                </c:pt>
                <c:pt idx="9">
                  <c:v>5.52</c:v>
                </c:pt>
                <c:pt idx="10">
                  <c:v>4.5199999999999996</c:v>
                </c:pt>
                <c:pt idx="11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7-453A-B4C1-A881FFC5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273480"/>
        <c:axId val="1737268760"/>
      </c:barChart>
      <c:catAx>
        <c:axId val="1737273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7268760"/>
        <c:crosses val="autoZero"/>
        <c:auto val="1"/>
        <c:lblAlgn val="ctr"/>
        <c:lblOffset val="100"/>
        <c:noMultiLvlLbl val="0"/>
      </c:catAx>
      <c:valAx>
        <c:axId val="1737268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37273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900864811511901"/>
          <c:y val="4.0536599591717796E-3"/>
          <c:w val="0.153413303805774"/>
          <c:h val="0.13388378536016299"/>
        </c:manualLayout>
      </c:layout>
      <c:overlay val="0"/>
      <c:txPr>
        <a:bodyPr/>
        <a:lstStyle/>
        <a:p>
          <a:pPr>
            <a:defRPr sz="700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0</xdr:colOff>
      <xdr:row>1</xdr:row>
      <xdr:rowOff>1994647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</xdr:colOff>
      <xdr:row>1</xdr:row>
      <xdr:rowOff>0</xdr:rowOff>
    </xdr:from>
    <xdr:to>
      <xdr:col>3</xdr:col>
      <xdr:colOff>1</xdr:colOff>
      <xdr:row>1</xdr:row>
      <xdr:rowOff>1994647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</xdr:colOff>
      <xdr:row>1</xdr:row>
      <xdr:rowOff>0</xdr:rowOff>
    </xdr:from>
    <xdr:to>
      <xdr:col>4</xdr:col>
      <xdr:colOff>1</xdr:colOff>
      <xdr:row>1</xdr:row>
      <xdr:rowOff>1994647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4</xdr:col>
      <xdr:colOff>0</xdr:colOff>
      <xdr:row>2</xdr:row>
      <xdr:rowOff>1994647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2</xdr:col>
      <xdr:colOff>0</xdr:colOff>
      <xdr:row>2</xdr:row>
      <xdr:rowOff>1994647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13608</xdr:colOff>
      <xdr:row>3</xdr:row>
      <xdr:rowOff>0</xdr:rowOff>
    </xdr:from>
    <xdr:to>
      <xdr:col>3</xdr:col>
      <xdr:colOff>1</xdr:colOff>
      <xdr:row>3</xdr:row>
      <xdr:rowOff>1994646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</xdr:colOff>
      <xdr:row>1</xdr:row>
      <xdr:rowOff>2000250</xdr:rowOff>
    </xdr:from>
    <xdr:to>
      <xdr:col>3</xdr:col>
      <xdr:colOff>2</xdr:colOff>
      <xdr:row>2</xdr:row>
      <xdr:rowOff>2000250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2</xdr:row>
      <xdr:rowOff>2000250</xdr:rowOff>
    </xdr:from>
    <xdr:to>
      <xdr:col>4</xdr:col>
      <xdr:colOff>0</xdr:colOff>
      <xdr:row>3</xdr:row>
      <xdr:rowOff>2000251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13607</xdr:colOff>
      <xdr:row>4</xdr:row>
      <xdr:rowOff>1</xdr:rowOff>
    </xdr:from>
    <xdr:to>
      <xdr:col>2</xdr:col>
      <xdr:colOff>13607</xdr:colOff>
      <xdr:row>5</xdr:row>
      <xdr:rowOff>0</xdr:rowOff>
    </xdr:to>
    <xdr:graphicFrame macro="">
      <xdr:nvGraphicFramePr>
        <xdr:cNvPr id="14" name="Grafik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13607</xdr:colOff>
      <xdr:row>4</xdr:row>
      <xdr:rowOff>1</xdr:rowOff>
    </xdr:from>
    <xdr:to>
      <xdr:col>3</xdr:col>
      <xdr:colOff>13607</xdr:colOff>
      <xdr:row>5</xdr:row>
      <xdr:rowOff>0</xdr:rowOff>
    </xdr:to>
    <xdr:graphicFrame macro="">
      <xdr:nvGraphicFramePr>
        <xdr:cNvPr id="16" name="Grafik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0</xdr:colOff>
      <xdr:row>3</xdr:row>
      <xdr:rowOff>2000250</xdr:rowOff>
    </xdr:from>
    <xdr:to>
      <xdr:col>4</xdr:col>
      <xdr:colOff>0</xdr:colOff>
      <xdr:row>4</xdr:row>
      <xdr:rowOff>2000250</xdr:rowOff>
    </xdr:to>
    <xdr:graphicFrame macro="">
      <xdr:nvGraphicFramePr>
        <xdr:cNvPr id="17" name="Grafik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</xdr:colOff>
      <xdr:row>5</xdr:row>
      <xdr:rowOff>1</xdr:rowOff>
    </xdr:from>
    <xdr:to>
      <xdr:col>2</xdr:col>
      <xdr:colOff>19051</xdr:colOff>
      <xdr:row>5</xdr:row>
      <xdr:rowOff>2000251</xdr:rowOff>
    </xdr:to>
    <xdr:graphicFrame macro="">
      <xdr:nvGraphicFramePr>
        <xdr:cNvPr id="18" name="Grafik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5</xdr:row>
      <xdr:rowOff>2000250</xdr:rowOff>
    </xdr:to>
    <xdr:graphicFrame macro="">
      <xdr:nvGraphicFramePr>
        <xdr:cNvPr id="20" name="Grafik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0.80882</cdr:x>
      <cdr:y>0</cdr:y>
    </cdr:from>
    <cdr:to>
      <cdr:x>1</cdr:x>
      <cdr:y>0.13263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99B3357E-8465-4A12-BBE4-34BB2EB3B846}"/>
            </a:ext>
          </a:extLst>
        </cdr:cNvPr>
        <cdr:cNvSpPr txBox="1"/>
      </cdr:nvSpPr>
      <cdr:spPr>
        <a:xfrm xmlns:a="http://schemas.openxmlformats.org/drawingml/2006/main">
          <a:off x="3398821" y="0"/>
          <a:ext cx="803385" cy="26455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%2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0.80882</cdr:x>
      <cdr:y>0.003</cdr:y>
    </cdr:from>
    <cdr:to>
      <cdr:x>1</cdr:x>
      <cdr:y>0.13563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99B3357E-8465-4A12-BBE4-34BB2EB3B846}"/>
            </a:ext>
          </a:extLst>
        </cdr:cNvPr>
        <cdr:cNvSpPr txBox="1"/>
      </cdr:nvSpPr>
      <cdr:spPr>
        <a:xfrm xmlns:a="http://schemas.openxmlformats.org/drawingml/2006/main">
          <a:off x="3398821" y="5976"/>
          <a:ext cx="803385" cy="26455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%3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0.80882</cdr:x>
      <cdr:y>0</cdr:y>
    </cdr:from>
    <cdr:to>
      <cdr:x>1</cdr:x>
      <cdr:y>0.13263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99B3357E-8465-4A12-BBE4-34BB2EB3B846}"/>
            </a:ext>
          </a:extLst>
        </cdr:cNvPr>
        <cdr:cNvSpPr txBox="1"/>
      </cdr:nvSpPr>
      <cdr:spPr>
        <a:xfrm xmlns:a="http://schemas.openxmlformats.org/drawingml/2006/main">
          <a:off x="3398821" y="0"/>
          <a:ext cx="803385" cy="26455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%5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0.76346</cdr:x>
      <cdr:y>0</cdr:y>
    </cdr:from>
    <cdr:to>
      <cdr:x>1</cdr:x>
      <cdr:y>0.13263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99B3357E-8465-4A12-BBE4-34BB2EB3B846}"/>
            </a:ext>
          </a:extLst>
        </cdr:cNvPr>
        <cdr:cNvSpPr txBox="1"/>
      </cdr:nvSpPr>
      <cdr:spPr>
        <a:xfrm xmlns:a="http://schemas.openxmlformats.org/drawingml/2006/main">
          <a:off x="3257139" y="0"/>
          <a:ext cx="993990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5 Saat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0.80882</cdr:x>
      <cdr:y>0</cdr:y>
    </cdr:from>
    <cdr:to>
      <cdr:x>0.97712</cdr:x>
      <cdr:y>0.13263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99B3357E-8465-4A12-BBE4-34BB2EB3B846}"/>
            </a:ext>
          </a:extLst>
        </cdr:cNvPr>
        <cdr:cNvSpPr txBox="1"/>
      </cdr:nvSpPr>
      <cdr:spPr>
        <a:xfrm xmlns:a="http://schemas.openxmlformats.org/drawingml/2006/main">
          <a:off x="3398821" y="0"/>
          <a:ext cx="707245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0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0.8066</cdr:x>
      <cdr:y>0</cdr:y>
    </cdr:from>
    <cdr:to>
      <cdr:x>1</cdr:x>
      <cdr:y>0.13264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99B3357E-8465-4A12-BBE4-34BB2EB3B846}"/>
            </a:ext>
          </a:extLst>
        </cdr:cNvPr>
        <cdr:cNvSpPr txBox="1"/>
      </cdr:nvSpPr>
      <cdr:spPr>
        <a:xfrm xmlns:a="http://schemas.openxmlformats.org/drawingml/2006/main">
          <a:off x="3385214" y="0"/>
          <a:ext cx="810094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%1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0.79021</cdr:x>
      <cdr:y>0</cdr:y>
    </cdr:from>
    <cdr:to>
      <cdr:x>1</cdr:x>
      <cdr:y>0.13189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99B3357E-8465-4A12-BBE4-34BB2EB3B846}"/>
            </a:ext>
          </a:extLst>
        </cdr:cNvPr>
        <cdr:cNvSpPr txBox="1"/>
      </cdr:nvSpPr>
      <cdr:spPr>
        <a:xfrm xmlns:a="http://schemas.openxmlformats.org/drawingml/2006/main">
          <a:off x="3322917" y="0"/>
          <a:ext cx="881588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%99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0.6821</cdr:x>
      <cdr:y>0</cdr:y>
    </cdr:from>
    <cdr:to>
      <cdr:x>1</cdr:x>
      <cdr:y>0.21837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7BF0AE46-4E1A-4913-8FAB-C4F30F73D59B}"/>
            </a:ext>
          </a:extLst>
        </cdr:cNvPr>
        <cdr:cNvSpPr txBox="1"/>
      </cdr:nvSpPr>
      <cdr:spPr>
        <a:xfrm xmlns:a="http://schemas.openxmlformats.org/drawingml/2006/main">
          <a:off x="2879306" y="0"/>
          <a:ext cx="1341950" cy="4367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 MAX:</a:t>
          </a:r>
          <a:r>
            <a:rPr lang="tr-TR" sz="1100" b="1" baseline="0">
              <a:solidFill>
                <a:srgbClr val="FF0000"/>
              </a:solidFill>
            </a:rPr>
            <a:t> %100</a:t>
          </a:r>
        </a:p>
        <a:p xmlns:a="http://schemas.openxmlformats.org/drawingml/2006/main">
          <a:r>
            <a:rPr lang="tr-TR" sz="1100" b="1" baseline="0">
              <a:solidFill>
                <a:srgbClr val="FF0000"/>
              </a:solidFill>
            </a:rPr>
            <a:t>HEDEF MİN: %70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0.49209</cdr:x>
      <cdr:y>0</cdr:y>
    </cdr:from>
    <cdr:to>
      <cdr:x>0.81144</cdr:x>
      <cdr:y>0.21837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7CB246C9-D34E-4435-8D3B-73519D93EB40}"/>
            </a:ext>
          </a:extLst>
        </cdr:cNvPr>
        <cdr:cNvSpPr txBox="1"/>
      </cdr:nvSpPr>
      <cdr:spPr>
        <a:xfrm xmlns:a="http://schemas.openxmlformats.org/drawingml/2006/main">
          <a:off x="2067859" y="0"/>
          <a:ext cx="1341986" cy="4367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 DİR:</a:t>
          </a:r>
          <a:r>
            <a:rPr lang="tr-TR" sz="1100" b="1" baseline="0">
              <a:solidFill>
                <a:srgbClr val="FF0000"/>
              </a:solidFill>
            </a:rPr>
            <a:t> %85</a:t>
          </a:r>
        </a:p>
        <a:p xmlns:a="http://schemas.openxmlformats.org/drawingml/2006/main">
          <a:r>
            <a:rPr lang="tr-TR" sz="1100" b="1" baseline="0">
              <a:solidFill>
                <a:srgbClr val="FF0000"/>
              </a:solidFill>
            </a:rPr>
            <a:t>HEDEF END: %15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19050</xdr:rowOff>
    </xdr:from>
    <xdr:to>
      <xdr:col>9</xdr:col>
      <xdr:colOff>9524</xdr:colOff>
      <xdr:row>19</xdr:row>
      <xdr:rowOff>180975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35</xdr:row>
      <xdr:rowOff>19050</xdr:rowOff>
    </xdr:from>
    <xdr:to>
      <xdr:col>10</xdr:col>
      <xdr:colOff>257175</xdr:colOff>
      <xdr:row>52</xdr:row>
      <xdr:rowOff>152400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68</xdr:row>
      <xdr:rowOff>28575</xdr:rowOff>
    </xdr:from>
    <xdr:to>
      <xdr:col>10</xdr:col>
      <xdr:colOff>266700</xdr:colOff>
      <xdr:row>85</xdr:row>
      <xdr:rowOff>142875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0.84205</cdr:x>
      <cdr:y>0</cdr:y>
    </cdr:from>
    <cdr:to>
      <cdr:x>0.94845</cdr:x>
      <cdr:y>0.09047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3431D1CD-656D-4A0E-824C-D95A412FB6A6}"/>
            </a:ext>
          </a:extLst>
        </cdr:cNvPr>
        <cdr:cNvSpPr txBox="1"/>
      </cdr:nvSpPr>
      <cdr:spPr>
        <a:xfrm xmlns:a="http://schemas.openxmlformats.org/drawingml/2006/main">
          <a:off x="6411074" y="0"/>
          <a:ext cx="810094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%3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9</xdr:col>
      <xdr:colOff>0</xdr:colOff>
      <xdr:row>19</xdr:row>
      <xdr:rowOff>168275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35</xdr:row>
      <xdr:rowOff>19050</xdr:rowOff>
    </xdr:from>
    <xdr:to>
      <xdr:col>10</xdr:col>
      <xdr:colOff>257175</xdr:colOff>
      <xdr:row>52</xdr:row>
      <xdr:rowOff>152400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68</xdr:row>
      <xdr:rowOff>171450</xdr:rowOff>
    </xdr:from>
    <xdr:to>
      <xdr:col>10</xdr:col>
      <xdr:colOff>247650</xdr:colOff>
      <xdr:row>86</xdr:row>
      <xdr:rowOff>95250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0.84169</cdr:x>
      <cdr:y>0</cdr:y>
    </cdr:from>
    <cdr:to>
      <cdr:x>0.96939</cdr:x>
      <cdr:y>0.14937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3431D1CD-656D-4A0E-824C-D95A412FB6A6}"/>
            </a:ext>
          </a:extLst>
        </cdr:cNvPr>
        <cdr:cNvSpPr txBox="1"/>
      </cdr:nvSpPr>
      <cdr:spPr>
        <a:xfrm xmlns:a="http://schemas.openxmlformats.org/drawingml/2006/main">
          <a:off x="5339387" y="0"/>
          <a:ext cx="810094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%2</a:t>
          </a:r>
        </a:p>
        <a:p xmlns:a="http://schemas.openxmlformats.org/drawingml/2006/main"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19050</xdr:rowOff>
    </xdr:from>
    <xdr:to>
      <xdr:col>9</xdr:col>
      <xdr:colOff>9524</xdr:colOff>
      <xdr:row>19</xdr:row>
      <xdr:rowOff>180975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35</xdr:row>
      <xdr:rowOff>28575</xdr:rowOff>
    </xdr:from>
    <xdr:to>
      <xdr:col>10</xdr:col>
      <xdr:colOff>266700</xdr:colOff>
      <xdr:row>52</xdr:row>
      <xdr:rowOff>142875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0.85778</cdr:x>
      <cdr:y>0</cdr:y>
    </cdr:from>
    <cdr:to>
      <cdr:x>0.97768</cdr:x>
      <cdr:y>0.09047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3431D1CD-656D-4A0E-824C-D95A412FB6A6}"/>
            </a:ext>
          </a:extLst>
        </cdr:cNvPr>
        <cdr:cNvSpPr txBox="1"/>
      </cdr:nvSpPr>
      <cdr:spPr>
        <a:xfrm xmlns:a="http://schemas.openxmlformats.org/drawingml/2006/main">
          <a:off x="5795505" y="0"/>
          <a:ext cx="810094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%2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31749</xdr:rowOff>
    </xdr:from>
    <xdr:to>
      <xdr:col>5</xdr:col>
      <xdr:colOff>159202</xdr:colOff>
      <xdr:row>40</xdr:row>
      <xdr:rowOff>98425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167368</xdr:colOff>
      <xdr:row>27</xdr:row>
      <xdr:rowOff>57150</xdr:rowOff>
    </xdr:from>
    <xdr:to>
      <xdr:col>11</xdr:col>
      <xdr:colOff>68035</xdr:colOff>
      <xdr:row>40</xdr:row>
      <xdr:rowOff>132107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27214</xdr:colOff>
      <xdr:row>40</xdr:row>
      <xdr:rowOff>138793</xdr:rowOff>
    </xdr:from>
    <xdr:to>
      <xdr:col>5</xdr:col>
      <xdr:colOff>149678</xdr:colOff>
      <xdr:row>54</xdr:row>
      <xdr:rowOff>14969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9524</xdr:colOff>
      <xdr:row>6</xdr:row>
      <xdr:rowOff>16564</xdr:rowOff>
    </xdr:from>
    <xdr:to>
      <xdr:col>6</xdr:col>
      <xdr:colOff>684438</xdr:colOff>
      <xdr:row>20</xdr:row>
      <xdr:rowOff>149677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173936</xdr:colOff>
      <xdr:row>40</xdr:row>
      <xdr:rowOff>148673</xdr:rowOff>
    </xdr:from>
    <xdr:to>
      <xdr:col>11</xdr:col>
      <xdr:colOff>74544</xdr:colOff>
      <xdr:row>54</xdr:row>
      <xdr:rowOff>24849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0.81847</cdr:x>
      <cdr:y>0</cdr:y>
    </cdr:from>
    <cdr:to>
      <cdr:x>1</cdr:x>
      <cdr:y>0.09448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3431D1CD-656D-4A0E-824C-D95A412FB6A6}"/>
            </a:ext>
          </a:extLst>
        </cdr:cNvPr>
        <cdr:cNvSpPr txBox="1"/>
      </cdr:nvSpPr>
      <cdr:spPr>
        <a:xfrm xmlns:a="http://schemas.openxmlformats.org/drawingml/2006/main">
          <a:off x="4530447" y="0"/>
          <a:ext cx="993990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5 Saat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19050</xdr:rowOff>
    </xdr:from>
    <xdr:to>
      <xdr:col>7</xdr:col>
      <xdr:colOff>207902</xdr:colOff>
      <xdr:row>19</xdr:row>
      <xdr:rowOff>54769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9525</xdr:rowOff>
    </xdr:from>
    <xdr:to>
      <xdr:col>10</xdr:col>
      <xdr:colOff>76200</xdr:colOff>
      <xdr:row>52</xdr:row>
      <xdr:rowOff>123825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0.83521</cdr:x>
      <cdr:y>0</cdr:y>
    </cdr:from>
    <cdr:to>
      <cdr:x>0.98028</cdr:x>
      <cdr:y>0.08579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3431D1CD-656D-4A0E-824C-D95A412FB6A6}"/>
            </a:ext>
          </a:extLst>
        </cdr:cNvPr>
        <cdr:cNvSpPr txBox="1"/>
      </cdr:nvSpPr>
      <cdr:spPr>
        <a:xfrm xmlns:a="http://schemas.openxmlformats.org/drawingml/2006/main">
          <a:off x="4071767" y="0"/>
          <a:ext cx="707245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0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13</xdr:row>
      <xdr:rowOff>47624</xdr:rowOff>
    </xdr:from>
    <xdr:to>
      <xdr:col>7</xdr:col>
      <xdr:colOff>609599</xdr:colOff>
      <xdr:row>28</xdr:row>
      <xdr:rowOff>190499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0.84103</cdr:x>
      <cdr:y>0</cdr:y>
    </cdr:from>
    <cdr:to>
      <cdr:x>0.96768</cdr:x>
      <cdr:y>0.08818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3431D1CD-656D-4A0E-824C-D95A412FB6A6}"/>
            </a:ext>
          </a:extLst>
        </cdr:cNvPr>
        <cdr:cNvSpPr txBox="1"/>
      </cdr:nvSpPr>
      <cdr:spPr>
        <a:xfrm xmlns:a="http://schemas.openxmlformats.org/drawingml/2006/main">
          <a:off x="4437989" y="0"/>
          <a:ext cx="668324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</a:t>
          </a:r>
          <a:r>
            <a:rPr lang="tr-TR" sz="1100" b="1" baseline="0">
              <a:solidFill>
                <a:srgbClr val="FF0000"/>
              </a:solidFill>
            </a:rPr>
            <a:t> </a:t>
          </a:r>
          <a:r>
            <a:rPr lang="tr-TR" sz="1100" b="1">
              <a:solidFill>
                <a:srgbClr val="FF0000"/>
              </a:solidFill>
            </a:rPr>
            <a:t>3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19050</xdr:rowOff>
    </xdr:from>
    <xdr:to>
      <xdr:col>9</xdr:col>
      <xdr:colOff>9524</xdr:colOff>
      <xdr:row>19</xdr:row>
      <xdr:rowOff>180975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0.84523</cdr:x>
      <cdr:y>0</cdr:y>
    </cdr:from>
    <cdr:to>
      <cdr:x>1</cdr:x>
      <cdr:y>0.08762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3431D1CD-656D-4A0E-824C-D95A412FB6A6}"/>
            </a:ext>
          </a:extLst>
        </cdr:cNvPr>
        <cdr:cNvSpPr txBox="1"/>
      </cdr:nvSpPr>
      <cdr:spPr>
        <a:xfrm xmlns:a="http://schemas.openxmlformats.org/drawingml/2006/main">
          <a:off x="4885856" y="0"/>
          <a:ext cx="881588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HEDEF:</a:t>
          </a:r>
          <a:r>
            <a:rPr lang="tr-TR" sz="1100" b="1" baseline="0">
              <a:solidFill>
                <a:srgbClr val="FF0000"/>
              </a:solidFill>
            </a:rPr>
            <a:t> %99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133350</xdr:rowOff>
    </xdr:from>
    <xdr:to>
      <xdr:col>9</xdr:col>
      <xdr:colOff>28576</xdr:colOff>
      <xdr:row>31</xdr:row>
      <xdr:rowOff>152400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7</xdr:col>
      <xdr:colOff>190500</xdr:colOff>
      <xdr:row>18</xdr:row>
      <xdr:rowOff>114300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31</xdr:row>
      <xdr:rowOff>19050</xdr:rowOff>
    </xdr:from>
    <xdr:to>
      <xdr:col>6</xdr:col>
      <xdr:colOff>19050</xdr:colOff>
      <xdr:row>45</xdr:row>
      <xdr:rowOff>95250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11</xdr:row>
      <xdr:rowOff>85725</xdr:rowOff>
    </xdr:from>
    <xdr:to>
      <xdr:col>7</xdr:col>
      <xdr:colOff>561975</xdr:colOff>
      <xdr:row>25</xdr:row>
      <xdr:rowOff>38100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19050</xdr:rowOff>
    </xdr:from>
    <xdr:to>
      <xdr:col>6</xdr:col>
      <xdr:colOff>38100</xdr:colOff>
      <xdr:row>22</xdr:row>
      <xdr:rowOff>95250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19050</xdr:rowOff>
    </xdr:from>
    <xdr:to>
      <xdr:col>4</xdr:col>
      <xdr:colOff>542925</xdr:colOff>
      <xdr:row>22</xdr:row>
      <xdr:rowOff>95250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98424</xdr:colOff>
      <xdr:row>5</xdr:row>
      <xdr:rowOff>12700</xdr:rowOff>
    </xdr:from>
    <xdr:to>
      <xdr:col>9</xdr:col>
      <xdr:colOff>98424</xdr:colOff>
      <xdr:row>24</xdr:row>
      <xdr:rowOff>6350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0.7644</cdr:x>
      <cdr:y>0</cdr:y>
    </cdr:from>
    <cdr:to>
      <cdr:x>1</cdr:x>
      <cdr:y>0.14466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3A9427C7-F3B6-4A77-908C-F365E0DEAF33}"/>
            </a:ext>
          </a:extLst>
        </cdr:cNvPr>
        <cdr:cNvSpPr txBox="1"/>
      </cdr:nvSpPr>
      <cdr:spPr>
        <a:xfrm xmlns:a="http://schemas.openxmlformats.org/drawingml/2006/main">
          <a:off x="4354000" y="0"/>
          <a:ext cx="1341950" cy="4367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 MAX:</a:t>
          </a:r>
          <a:r>
            <a:rPr lang="tr-TR" sz="1100" b="1" baseline="0">
              <a:solidFill>
                <a:srgbClr val="FF0000"/>
              </a:solidFill>
            </a:rPr>
            <a:t> %100</a:t>
          </a:r>
        </a:p>
        <a:p xmlns:a="http://schemas.openxmlformats.org/drawingml/2006/main">
          <a:r>
            <a:rPr lang="tr-TR" sz="1100" b="1" baseline="0">
              <a:solidFill>
                <a:srgbClr val="FF0000"/>
              </a:solidFill>
            </a:rPr>
            <a:t>HEDEF MİN: %70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15</xdr:row>
      <xdr:rowOff>95250</xdr:rowOff>
    </xdr:from>
    <xdr:to>
      <xdr:col>8</xdr:col>
      <xdr:colOff>914400</xdr:colOff>
      <xdr:row>29</xdr:row>
      <xdr:rowOff>171450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0.45825</cdr:x>
      <cdr:y>0</cdr:y>
    </cdr:from>
    <cdr:to>
      <cdr:x>0.73614</cdr:x>
      <cdr:y>0.15923</cdr:y>
    </cdr:to>
    <cdr:sp macro="" textlink="">
      <cdr:nvSpPr>
        <cdr:cNvPr id="2" name="Metin kutusu 4">
          <a:extLst xmlns:a="http://schemas.openxmlformats.org/drawingml/2006/main">
            <a:ext uri="{FF2B5EF4-FFF2-40B4-BE49-F238E27FC236}">
              <a16:creationId xmlns:a16="http://schemas.microsoft.com/office/drawing/2014/main" id="{28E6DB8C-C703-4FAB-9D6E-F7EC5C395F5A}"/>
            </a:ext>
          </a:extLst>
        </cdr:cNvPr>
        <cdr:cNvSpPr txBox="1"/>
      </cdr:nvSpPr>
      <cdr:spPr>
        <a:xfrm xmlns:a="http://schemas.openxmlformats.org/drawingml/2006/main">
          <a:off x="2212975" y="0"/>
          <a:ext cx="1341986" cy="4367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tr-TR" sz="1100" b="1">
              <a:solidFill>
                <a:srgbClr val="FF0000"/>
              </a:solidFill>
            </a:rPr>
            <a:t>HEDEF DİR:</a:t>
          </a:r>
          <a:r>
            <a:rPr lang="tr-TR" sz="1100" b="1" baseline="0">
              <a:solidFill>
                <a:srgbClr val="FF0000"/>
              </a:solidFill>
            </a:rPr>
            <a:t> %85</a:t>
          </a:r>
        </a:p>
        <a:p xmlns:a="http://schemas.openxmlformats.org/drawingml/2006/main">
          <a:r>
            <a:rPr lang="tr-TR" sz="1100" b="1" baseline="0">
              <a:solidFill>
                <a:srgbClr val="FF0000"/>
              </a:solidFill>
            </a:rPr>
            <a:t>HEDEF END: %15</a:t>
          </a:r>
          <a:endParaRPr lang="tr-TR" sz="1100" b="1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opLeftCell="C1" zoomScale="90" zoomScaleNormal="90" zoomScalePageLayoutView="90" workbookViewId="0">
      <selection activeCell="D22" sqref="D22"/>
    </sheetView>
  </sheetViews>
  <sheetFormatPr defaultColWidth="8.85546875" defaultRowHeight="15" x14ac:dyDescent="0.25"/>
  <cols>
    <col min="1" max="1" width="4.85546875" customWidth="1"/>
    <col min="2" max="2" width="53.42578125" bestFit="1" customWidth="1"/>
    <col min="3" max="3" width="106.42578125" customWidth="1"/>
    <col min="4" max="4" width="19.42578125" style="1" customWidth="1"/>
  </cols>
  <sheetData>
    <row r="1" spans="1:4" s="5" customFormat="1" ht="30" x14ac:dyDescent="0.25">
      <c r="A1" s="6" t="s">
        <v>6</v>
      </c>
      <c r="B1" s="6" t="s">
        <v>0</v>
      </c>
      <c r="C1" s="6" t="s">
        <v>1</v>
      </c>
      <c r="D1" s="37" t="s">
        <v>29</v>
      </c>
    </row>
    <row r="2" spans="1:4" x14ac:dyDescent="0.25">
      <c r="A2" s="7" t="s">
        <v>8</v>
      </c>
      <c r="B2" s="7" t="s">
        <v>2</v>
      </c>
      <c r="C2" s="7" t="s">
        <v>39</v>
      </c>
      <c r="D2" s="8" t="s">
        <v>31</v>
      </c>
    </row>
    <row r="3" spans="1:4" x14ac:dyDescent="0.25">
      <c r="A3" s="9" t="s">
        <v>7</v>
      </c>
      <c r="B3" s="9" t="s">
        <v>86</v>
      </c>
      <c r="C3" s="9" t="s">
        <v>51</v>
      </c>
      <c r="D3" s="38" t="s">
        <v>31</v>
      </c>
    </row>
    <row r="4" spans="1:4" x14ac:dyDescent="0.25">
      <c r="A4" s="9" t="s">
        <v>9</v>
      </c>
      <c r="B4" s="9" t="s">
        <v>87</v>
      </c>
      <c r="C4" s="9" t="s">
        <v>52</v>
      </c>
      <c r="D4" s="38" t="s">
        <v>31</v>
      </c>
    </row>
    <row r="5" spans="1:4" x14ac:dyDescent="0.25">
      <c r="A5" s="7" t="s">
        <v>10</v>
      </c>
      <c r="B5" s="7" t="s">
        <v>3</v>
      </c>
      <c r="C5" s="7" t="s">
        <v>40</v>
      </c>
      <c r="D5" s="8" t="s">
        <v>31</v>
      </c>
    </row>
    <row r="6" spans="1:4" x14ac:dyDescent="0.25">
      <c r="A6" s="9" t="s">
        <v>13</v>
      </c>
      <c r="B6" s="9" t="s">
        <v>88</v>
      </c>
      <c r="C6" s="9" t="s">
        <v>53</v>
      </c>
      <c r="D6" s="38" t="s">
        <v>31</v>
      </c>
    </row>
    <row r="7" spans="1:4" x14ac:dyDescent="0.25">
      <c r="A7" s="9" t="s">
        <v>14</v>
      </c>
      <c r="B7" s="9" t="s">
        <v>89</v>
      </c>
      <c r="C7" s="9" t="s">
        <v>54</v>
      </c>
      <c r="D7" s="38" t="s">
        <v>31</v>
      </c>
    </row>
    <row r="8" spans="1:4" x14ac:dyDescent="0.25">
      <c r="A8" s="7" t="s">
        <v>11</v>
      </c>
      <c r="B8" s="7" t="s">
        <v>4</v>
      </c>
      <c r="C8" s="7" t="s">
        <v>41</v>
      </c>
      <c r="D8" s="8" t="s">
        <v>31</v>
      </c>
    </row>
    <row r="9" spans="1:4" x14ac:dyDescent="0.25">
      <c r="A9" s="9" t="s">
        <v>15</v>
      </c>
      <c r="B9" s="9" t="s">
        <v>90</v>
      </c>
      <c r="C9" s="9" t="s">
        <v>55</v>
      </c>
      <c r="D9" s="38" t="s">
        <v>31</v>
      </c>
    </row>
    <row r="10" spans="1:4" x14ac:dyDescent="0.25">
      <c r="A10" s="7" t="s">
        <v>12</v>
      </c>
      <c r="B10" s="7" t="s">
        <v>5</v>
      </c>
      <c r="C10" s="7" t="s">
        <v>42</v>
      </c>
      <c r="D10" s="8" t="s">
        <v>188</v>
      </c>
    </row>
    <row r="11" spans="1:4" x14ac:dyDescent="0.25">
      <c r="A11" s="9" t="s">
        <v>16</v>
      </c>
      <c r="B11" s="9" t="s">
        <v>56</v>
      </c>
      <c r="C11" s="9" t="s">
        <v>105</v>
      </c>
      <c r="D11" s="38" t="s">
        <v>31</v>
      </c>
    </row>
    <row r="12" spans="1:4" x14ac:dyDescent="0.25">
      <c r="A12" s="7" t="s">
        <v>17</v>
      </c>
      <c r="B12" s="7" t="s">
        <v>18</v>
      </c>
      <c r="C12" s="7" t="s">
        <v>43</v>
      </c>
      <c r="D12" s="8" t="s">
        <v>31</v>
      </c>
    </row>
    <row r="13" spans="1:4" x14ac:dyDescent="0.25">
      <c r="A13" s="9" t="s">
        <v>20</v>
      </c>
      <c r="B13" s="9" t="s">
        <v>19</v>
      </c>
      <c r="C13" s="9" t="s">
        <v>57</v>
      </c>
      <c r="D13" s="38" t="s">
        <v>31</v>
      </c>
    </row>
    <row r="14" spans="1:4" x14ac:dyDescent="0.25">
      <c r="A14" s="7" t="s">
        <v>21</v>
      </c>
      <c r="B14" s="7" t="s">
        <v>22</v>
      </c>
      <c r="C14" s="7" t="s">
        <v>32</v>
      </c>
      <c r="D14" s="8" t="s">
        <v>30</v>
      </c>
    </row>
    <row r="15" spans="1:4" x14ac:dyDescent="0.25">
      <c r="A15" s="7" t="s">
        <v>23</v>
      </c>
      <c r="B15" s="7" t="s">
        <v>24</v>
      </c>
      <c r="C15" s="7" t="s">
        <v>25</v>
      </c>
      <c r="D15" s="8" t="s">
        <v>31</v>
      </c>
    </row>
    <row r="16" spans="1:4" x14ac:dyDescent="0.25">
      <c r="A16" s="7" t="s">
        <v>28</v>
      </c>
      <c r="B16" s="7" t="s">
        <v>27</v>
      </c>
      <c r="C16" s="7" t="s">
        <v>26</v>
      </c>
      <c r="D16" s="8" t="s">
        <v>31</v>
      </c>
    </row>
    <row r="17" spans="1:4" s="3" customFormat="1" ht="30" x14ac:dyDescent="0.25">
      <c r="A17" s="10" t="s">
        <v>35</v>
      </c>
      <c r="B17" s="10" t="s">
        <v>33</v>
      </c>
      <c r="C17" s="11" t="s">
        <v>44</v>
      </c>
      <c r="D17" s="8" t="s">
        <v>30</v>
      </c>
    </row>
    <row r="18" spans="1:4" s="3" customFormat="1" x14ac:dyDescent="0.25">
      <c r="A18" s="7" t="s">
        <v>36</v>
      </c>
      <c r="B18" s="7" t="s">
        <v>46</v>
      </c>
      <c r="C18" s="7" t="s">
        <v>47</v>
      </c>
      <c r="D18" s="8" t="s">
        <v>30</v>
      </c>
    </row>
    <row r="19" spans="1:4" x14ac:dyDescent="0.25">
      <c r="A19" s="9" t="s">
        <v>45</v>
      </c>
      <c r="B19" s="9" t="s">
        <v>130</v>
      </c>
      <c r="C19" s="9" t="s">
        <v>48</v>
      </c>
      <c r="D19" s="38" t="s">
        <v>30</v>
      </c>
    </row>
    <row r="20" spans="1:4" x14ac:dyDescent="0.25">
      <c r="A20" s="7" t="s">
        <v>37</v>
      </c>
      <c r="B20" s="7" t="s">
        <v>34</v>
      </c>
      <c r="C20" s="7" t="s">
        <v>49</v>
      </c>
      <c r="D20" s="8" t="s">
        <v>30</v>
      </c>
    </row>
    <row r="21" spans="1:4" x14ac:dyDescent="0.25">
      <c r="A21" s="7" t="s">
        <v>38</v>
      </c>
      <c r="B21" s="7" t="s">
        <v>146</v>
      </c>
      <c r="C21" s="7" t="s">
        <v>50</v>
      </c>
      <c r="D21" s="8" t="s">
        <v>30</v>
      </c>
    </row>
    <row r="22" spans="1:4" x14ac:dyDescent="0.25">
      <c r="A22" s="7" t="s">
        <v>148</v>
      </c>
      <c r="B22" s="7" t="s">
        <v>149</v>
      </c>
      <c r="C22" s="7" t="s">
        <v>150</v>
      </c>
      <c r="D22" s="8" t="s">
        <v>31</v>
      </c>
    </row>
    <row r="23" spans="1:4" x14ac:dyDescent="0.25">
      <c r="A23" s="7" t="s">
        <v>151</v>
      </c>
      <c r="B23" s="7" t="s">
        <v>152</v>
      </c>
      <c r="C23" s="7" t="s">
        <v>153</v>
      </c>
      <c r="D23" s="8" t="s">
        <v>31</v>
      </c>
    </row>
  </sheetData>
  <pageMargins left="0.70866141732283472" right="0.70866141732283472" top="0.74803149606299213" bottom="0.74803149606299213" header="0.31496062992125984" footer="0.31496062992125984"/>
  <pageSetup paperSize="9" scale="76" orientation="landscape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6"/>
  <sheetViews>
    <sheetView zoomScale="85" zoomScaleNormal="85" zoomScalePageLayoutView="85" workbookViewId="0">
      <selection activeCell="D6" sqref="D6"/>
    </sheetView>
  </sheetViews>
  <sheetFormatPr defaultColWidth="8.85546875" defaultRowHeight="15" x14ac:dyDescent="0.25"/>
  <cols>
    <col min="1" max="1" width="3.7109375" customWidth="1"/>
    <col min="2" max="4" width="63" customWidth="1"/>
  </cols>
  <sheetData>
    <row r="1" spans="2:4" ht="23.25" x14ac:dyDescent="0.35">
      <c r="B1" s="48" t="s">
        <v>147</v>
      </c>
      <c r="C1" s="48"/>
      <c r="D1" s="48"/>
    </row>
    <row r="2" spans="2:4" ht="158.25" customHeight="1" x14ac:dyDescent="0.25"/>
    <row r="3" spans="2:4" ht="158.25" customHeight="1" x14ac:dyDescent="0.25"/>
    <row r="4" spans="2:4" ht="158.25" customHeight="1" x14ac:dyDescent="0.25"/>
    <row r="5" spans="2:4" ht="158.25" customHeight="1" x14ac:dyDescent="0.25"/>
    <row r="6" spans="2:4" ht="158.25" customHeight="1" x14ac:dyDescent="0.25"/>
  </sheetData>
  <mergeCells count="1">
    <mergeCell ref="B1:D1"/>
  </mergeCells>
  <pageMargins left="0.7" right="0.7" top="0.75" bottom="0.75" header="0.3" footer="0.3"/>
  <pageSetup paperSize="8" scale="95"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O68"/>
  <sheetViews>
    <sheetView tabSelected="1" topLeftCell="A37" workbookViewId="0">
      <selection activeCell="P63" sqref="P63"/>
    </sheetView>
  </sheetViews>
  <sheetFormatPr defaultColWidth="9" defaultRowHeight="15" x14ac:dyDescent="0.25"/>
  <cols>
    <col min="1" max="1" width="13.42578125" customWidth="1"/>
    <col min="2" max="2" width="9.85546875" customWidth="1"/>
    <col min="3" max="3" width="12.140625" customWidth="1"/>
    <col min="4" max="4" width="12.5703125" customWidth="1"/>
    <col min="5" max="5" width="13.42578125" customWidth="1"/>
    <col min="6" max="6" width="11.7109375" customWidth="1"/>
    <col min="7" max="7" width="12.28515625" customWidth="1"/>
    <col min="8" max="8" width="11.85546875" customWidth="1"/>
    <col min="9" max="9" width="11.7109375" customWidth="1"/>
    <col min="10" max="10" width="11.85546875" customWidth="1"/>
    <col min="11" max="11" width="13.5703125" customWidth="1"/>
    <col min="12" max="12" width="10" customWidth="1"/>
    <col min="13" max="13" width="10.7109375" customWidth="1"/>
    <col min="14" max="14" width="7.85546875" customWidth="1"/>
    <col min="15" max="15" width="11.42578125" customWidth="1"/>
    <col min="16" max="18" width="7.85546875" customWidth="1"/>
  </cols>
  <sheetData>
    <row r="1" spans="1:15" x14ac:dyDescent="0.25">
      <c r="A1" s="50" t="s">
        <v>79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x14ac:dyDescent="0.25">
      <c r="A2" s="8"/>
      <c r="B2" s="12">
        <v>2024</v>
      </c>
      <c r="C2" s="12" t="s">
        <v>167</v>
      </c>
      <c r="D2" s="12" t="s">
        <v>58</v>
      </c>
      <c r="E2" s="12" t="s">
        <v>59</v>
      </c>
      <c r="F2" s="12" t="s">
        <v>60</v>
      </c>
      <c r="G2" s="12" t="s">
        <v>61</v>
      </c>
      <c r="H2" s="12" t="s">
        <v>62</v>
      </c>
      <c r="I2" s="12" t="s">
        <v>63</v>
      </c>
      <c r="J2" s="12" t="s">
        <v>64</v>
      </c>
      <c r="K2" s="12" t="s">
        <v>65</v>
      </c>
      <c r="L2" s="12" t="s">
        <v>66</v>
      </c>
      <c r="M2" s="12" t="s">
        <v>67</v>
      </c>
      <c r="N2" s="12" t="s">
        <v>68</v>
      </c>
      <c r="O2" s="12" t="s">
        <v>69</v>
      </c>
    </row>
    <row r="3" spans="1:15" x14ac:dyDescent="0.25">
      <c r="A3" s="12" t="s">
        <v>71</v>
      </c>
      <c r="B3" s="13"/>
      <c r="C3" s="14"/>
      <c r="D3" s="14">
        <v>5.4600000000000003E-2</v>
      </c>
      <c r="E3" s="14">
        <v>5.3199999999999997E-2</v>
      </c>
      <c r="F3" s="14">
        <v>8.5000000000000006E-2</v>
      </c>
      <c r="G3" s="14">
        <v>5.96E-2</v>
      </c>
      <c r="H3" s="14">
        <v>5.6099999999999997E-2</v>
      </c>
      <c r="I3" s="14">
        <v>4.5999999999999999E-2</v>
      </c>
      <c r="J3" s="14">
        <v>0.32750000000000001</v>
      </c>
      <c r="K3" s="14">
        <v>0.11899999999999999</v>
      </c>
      <c r="L3" s="14">
        <v>0.1502</v>
      </c>
      <c r="M3" s="14">
        <v>7.4700000000000003E-2</v>
      </c>
      <c r="N3" s="14">
        <v>0.14760000000000001</v>
      </c>
      <c r="O3" s="14">
        <v>0.1308</v>
      </c>
    </row>
    <row r="4" spans="1:15" x14ac:dyDescent="0.25">
      <c r="A4" s="12" t="s">
        <v>72</v>
      </c>
      <c r="B4" s="13"/>
      <c r="C4" s="14">
        <f>(+E3+F3+G3+H3+I3+J3+K3+L3+M3+N3+O3)/12</f>
        <v>0.10414166666666667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21" spans="1:15" ht="6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5" x14ac:dyDescent="0.25">
      <c r="A22" s="49" t="s">
        <v>85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5" ht="24" x14ac:dyDescent="0.25">
      <c r="A23" s="15" t="s">
        <v>73</v>
      </c>
      <c r="B23" s="16" t="s">
        <v>74</v>
      </c>
      <c r="C23" s="16" t="s">
        <v>190</v>
      </c>
      <c r="D23" s="16" t="s">
        <v>75</v>
      </c>
      <c r="E23" s="16" t="s">
        <v>163</v>
      </c>
      <c r="F23" s="16" t="s">
        <v>162</v>
      </c>
      <c r="G23" s="16" t="s">
        <v>80</v>
      </c>
      <c r="H23" s="16" t="s">
        <v>165</v>
      </c>
      <c r="I23" s="16" t="s">
        <v>164</v>
      </c>
      <c r="J23" s="16" t="s">
        <v>76</v>
      </c>
      <c r="K23" s="16" t="s">
        <v>78</v>
      </c>
      <c r="L23" s="16"/>
      <c r="M23" s="16"/>
    </row>
    <row r="24" spans="1:15" x14ac:dyDescent="0.25">
      <c r="A24" s="17" t="s">
        <v>58</v>
      </c>
      <c r="B24" s="18"/>
      <c r="C24" s="18">
        <v>0.59370000000000001</v>
      </c>
      <c r="D24" s="18"/>
      <c r="E24" s="18"/>
      <c r="F24" s="18">
        <v>0.25</v>
      </c>
      <c r="G24" s="18"/>
      <c r="H24" s="18">
        <v>0.15620000000000001</v>
      </c>
      <c r="I24" s="18" t="s">
        <v>161</v>
      </c>
      <c r="J24" s="18" t="s">
        <v>161</v>
      </c>
      <c r="K24" s="18"/>
      <c r="L24" s="18" t="s">
        <v>77</v>
      </c>
      <c r="M24" s="18" t="s">
        <v>161</v>
      </c>
      <c r="N24" s="39"/>
      <c r="O24" s="39"/>
    </row>
    <row r="25" spans="1:15" x14ac:dyDescent="0.25">
      <c r="A25" s="17" t="s">
        <v>59</v>
      </c>
      <c r="B25" s="18">
        <v>3.0300000000000001E-2</v>
      </c>
      <c r="C25" s="18">
        <v>0.69689999999999996</v>
      </c>
      <c r="D25" s="18"/>
      <c r="E25" s="18"/>
      <c r="F25" s="18">
        <v>6.0600000000000001E-2</v>
      </c>
      <c r="G25" s="18">
        <v>0.1212</v>
      </c>
      <c r="H25" s="18">
        <v>9.0899999999999995E-2</v>
      </c>
      <c r="I25" s="18"/>
      <c r="J25" s="18"/>
      <c r="K25" s="18"/>
      <c r="L25" s="18"/>
      <c r="M25" s="18"/>
      <c r="O25" s="39"/>
    </row>
    <row r="26" spans="1:15" x14ac:dyDescent="0.25">
      <c r="A26" s="17" t="s">
        <v>60</v>
      </c>
      <c r="B26" s="18">
        <v>2.0400000000000001E-2</v>
      </c>
      <c r="C26" s="18">
        <v>0.42849999999999999</v>
      </c>
      <c r="D26" s="18"/>
      <c r="E26" s="18"/>
      <c r="F26" s="18">
        <v>0.12239999999999999</v>
      </c>
      <c r="G26" s="18">
        <v>0.12239999999999999</v>
      </c>
      <c r="H26" s="18">
        <v>0.30609999999999998</v>
      </c>
      <c r="I26" s="18"/>
      <c r="J26" s="18"/>
      <c r="K26" s="18"/>
      <c r="L26" s="18"/>
      <c r="M26" s="18"/>
    </row>
    <row r="27" spans="1:15" x14ac:dyDescent="0.25">
      <c r="A27" s="17" t="s">
        <v>61</v>
      </c>
      <c r="B27" s="18">
        <v>2.7E-2</v>
      </c>
      <c r="C27" s="42">
        <v>0.64859999999999995</v>
      </c>
      <c r="D27" s="18"/>
      <c r="E27" s="18"/>
      <c r="F27" s="18"/>
      <c r="G27" s="18">
        <v>0.1351</v>
      </c>
      <c r="H27" s="18">
        <v>0.18909999999999999</v>
      </c>
      <c r="I27" s="18"/>
      <c r="J27" s="18"/>
      <c r="L27" s="18"/>
      <c r="M27" s="18"/>
    </row>
    <row r="28" spans="1:15" x14ac:dyDescent="0.25">
      <c r="A28" s="17" t="s">
        <v>62</v>
      </c>
      <c r="B28" s="18"/>
      <c r="C28" s="18">
        <v>0.70579999999999998</v>
      </c>
      <c r="D28" s="18"/>
      <c r="E28" s="18"/>
      <c r="F28" s="18"/>
      <c r="G28" s="18">
        <v>0.23519999999999999</v>
      </c>
      <c r="H28" s="18">
        <v>5.8799999999999998E-2</v>
      </c>
      <c r="I28" s="18"/>
      <c r="J28" s="18"/>
      <c r="K28" s="18"/>
      <c r="L28" s="18"/>
      <c r="M28" s="18"/>
    </row>
    <row r="29" spans="1:15" x14ac:dyDescent="0.25">
      <c r="A29" s="17" t="s">
        <v>63</v>
      </c>
      <c r="B29" s="18"/>
      <c r="C29" s="18">
        <v>0.8518</v>
      </c>
      <c r="D29" s="18"/>
      <c r="E29" s="18"/>
      <c r="F29" s="18"/>
      <c r="G29" s="18">
        <v>7.3999999999999996E-2</v>
      </c>
      <c r="H29" s="18">
        <v>7.3999999999999996E-2</v>
      </c>
      <c r="I29" s="18"/>
      <c r="J29" s="18"/>
      <c r="K29" s="18"/>
      <c r="L29" s="18"/>
      <c r="M29" s="18"/>
    </row>
    <row r="30" spans="1:15" x14ac:dyDescent="0.25">
      <c r="A30" s="17" t="s">
        <v>64</v>
      </c>
      <c r="B30" s="18"/>
      <c r="C30" s="18">
        <v>0.17979999999999999</v>
      </c>
      <c r="D30" s="18"/>
      <c r="E30" s="18"/>
      <c r="F30" s="18"/>
      <c r="G30" s="18">
        <v>2.64E-2</v>
      </c>
      <c r="H30" s="18">
        <v>1.0500000000000001E-2</v>
      </c>
      <c r="I30" s="18">
        <v>0.78300000000000003</v>
      </c>
      <c r="J30" s="18"/>
      <c r="K30" s="18"/>
      <c r="L30" s="18"/>
      <c r="M30" s="18"/>
    </row>
    <row r="31" spans="1:15" x14ac:dyDescent="0.25">
      <c r="A31" s="17" t="s">
        <v>65</v>
      </c>
      <c r="B31" s="18"/>
      <c r="C31" s="18">
        <v>0.77769999999999995</v>
      </c>
      <c r="D31" s="18"/>
      <c r="E31" s="18"/>
      <c r="F31" s="18"/>
      <c r="G31" s="18">
        <v>0.1777</v>
      </c>
      <c r="H31" s="18">
        <v>2.2200000000000001E-2</v>
      </c>
      <c r="I31" s="18">
        <v>2.2200000000000001E-2</v>
      </c>
      <c r="J31" s="18"/>
      <c r="K31" s="18"/>
      <c r="L31" s="18"/>
      <c r="M31" s="18"/>
    </row>
    <row r="32" spans="1:15" x14ac:dyDescent="0.25">
      <c r="A32" s="17" t="s">
        <v>66</v>
      </c>
      <c r="B32" s="18"/>
      <c r="C32" s="18">
        <v>0.75860000000000005</v>
      </c>
      <c r="D32" s="18"/>
      <c r="E32" s="18"/>
      <c r="F32" s="18"/>
      <c r="G32" s="18">
        <v>6.8900000000000003E-2</v>
      </c>
      <c r="H32" s="18"/>
      <c r="I32" s="18">
        <v>0.10340000000000001</v>
      </c>
      <c r="J32" s="18"/>
      <c r="K32" s="18">
        <v>6.8900000000000003E-2</v>
      </c>
      <c r="L32" s="18"/>
      <c r="M32" s="18"/>
    </row>
    <row r="33" spans="1:13" x14ac:dyDescent="0.25">
      <c r="A33" s="17" t="s">
        <v>67</v>
      </c>
      <c r="B33" s="18"/>
      <c r="C33" s="18">
        <v>0.80759999999999998</v>
      </c>
      <c r="D33" s="18"/>
      <c r="E33" s="18"/>
      <c r="F33" s="18"/>
      <c r="G33" s="18">
        <v>3.8399999999999997E-2</v>
      </c>
      <c r="H33" s="18"/>
      <c r="I33" s="18"/>
      <c r="J33" s="18">
        <v>0.1153</v>
      </c>
      <c r="K33" s="18">
        <v>3.8399999999999997E-2</v>
      </c>
      <c r="L33" s="18"/>
      <c r="M33" s="18"/>
    </row>
    <row r="34" spans="1:13" x14ac:dyDescent="0.25">
      <c r="A34" s="17" t="s">
        <v>68</v>
      </c>
      <c r="B34" s="18"/>
      <c r="C34" s="18">
        <v>0.62260000000000004</v>
      </c>
      <c r="D34" s="18"/>
      <c r="E34" s="18"/>
      <c r="F34" s="18"/>
      <c r="G34" s="18"/>
      <c r="H34" s="18"/>
      <c r="I34" s="18"/>
      <c r="J34" s="18">
        <v>0.16980000000000001</v>
      </c>
      <c r="K34" s="18">
        <v>0.20749999999999999</v>
      </c>
      <c r="L34" s="18"/>
      <c r="M34" s="18"/>
    </row>
    <row r="35" spans="1:13" x14ac:dyDescent="0.25">
      <c r="A35" s="17" t="s">
        <v>69</v>
      </c>
      <c r="B35" s="18"/>
      <c r="C35" s="18">
        <v>0.19639999999999999</v>
      </c>
      <c r="D35" s="18"/>
      <c r="E35" s="18"/>
      <c r="F35" s="18"/>
      <c r="G35" s="18"/>
      <c r="H35" s="18"/>
      <c r="I35" s="18"/>
      <c r="J35" s="18">
        <v>0.76780000000000004</v>
      </c>
      <c r="K35" s="18">
        <v>3.5700000000000003E-2</v>
      </c>
      <c r="L35" s="18"/>
      <c r="M35" s="18"/>
    </row>
    <row r="54" spans="1:13" ht="6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3" x14ac:dyDescent="0.25">
      <c r="A55" s="49" t="s">
        <v>91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 x14ac:dyDescent="0.25">
      <c r="A56" s="15" t="s">
        <v>81</v>
      </c>
      <c r="B56" s="16" t="s">
        <v>168</v>
      </c>
      <c r="C56" s="16" t="s">
        <v>169</v>
      </c>
      <c r="D56" s="16" t="s">
        <v>170</v>
      </c>
      <c r="E56" s="16" t="s">
        <v>171</v>
      </c>
      <c r="F56" s="16" t="s">
        <v>83</v>
      </c>
      <c r="G56" s="41" t="s">
        <v>82</v>
      </c>
      <c r="H56" s="16" t="s">
        <v>84</v>
      </c>
      <c r="I56" s="16" t="s">
        <v>189</v>
      </c>
      <c r="J56" s="16"/>
      <c r="K56" s="16"/>
      <c r="L56" s="16" t="s">
        <v>77</v>
      </c>
      <c r="M56" s="16" t="s">
        <v>78</v>
      </c>
    </row>
    <row r="57" spans="1:13" x14ac:dyDescent="0.25">
      <c r="A57" s="17" t="s">
        <v>58</v>
      </c>
      <c r="B57" s="18">
        <v>0.25</v>
      </c>
      <c r="C57" s="18">
        <v>6.25E-2</v>
      </c>
      <c r="D57" s="18">
        <v>0.34370000000000001</v>
      </c>
      <c r="E57" s="18">
        <v>0.1875</v>
      </c>
      <c r="F57" s="18"/>
      <c r="G57" s="40"/>
      <c r="H57" s="18">
        <v>3.1199999999999999E-2</v>
      </c>
      <c r="I57" s="18">
        <v>0.125</v>
      </c>
      <c r="J57" s="18"/>
      <c r="K57" s="18"/>
      <c r="L57" s="18"/>
      <c r="M57" s="18"/>
    </row>
    <row r="58" spans="1:13" x14ac:dyDescent="0.25">
      <c r="A58" s="17" t="s">
        <v>59</v>
      </c>
      <c r="B58" s="18">
        <v>6.0600000000000001E-2</v>
      </c>
      <c r="C58" s="18">
        <v>3.0300000000000001E-2</v>
      </c>
      <c r="D58" s="18">
        <v>0.39389999999999997</v>
      </c>
      <c r="E58" s="18">
        <v>0.2727</v>
      </c>
      <c r="F58" s="18"/>
      <c r="G58" s="7">
        <v>3.03</v>
      </c>
      <c r="H58" s="18">
        <v>0.1212</v>
      </c>
      <c r="I58" s="18">
        <v>9.0899999999999995E-2</v>
      </c>
      <c r="J58" s="18"/>
      <c r="K58" s="18"/>
      <c r="L58" s="18"/>
      <c r="M58" s="18"/>
    </row>
    <row r="59" spans="1:13" x14ac:dyDescent="0.25">
      <c r="A59" s="17" t="s">
        <v>60</v>
      </c>
      <c r="B59" s="18">
        <v>0.14280000000000001</v>
      </c>
      <c r="C59" s="18">
        <v>0.12239999999999999</v>
      </c>
      <c r="D59" s="18">
        <v>0.42849999999999999</v>
      </c>
      <c r="E59" s="18">
        <v>0.22439999999999999</v>
      </c>
      <c r="F59" s="18"/>
      <c r="G59" s="7">
        <v>6.12</v>
      </c>
      <c r="H59" s="18">
        <v>2.0400000000000001E-2</v>
      </c>
      <c r="I59" s="18"/>
      <c r="J59" s="18"/>
      <c r="K59" s="18"/>
      <c r="L59" s="18"/>
      <c r="M59" s="18"/>
    </row>
    <row r="60" spans="1:13" x14ac:dyDescent="0.25">
      <c r="A60" s="17" t="s">
        <v>61</v>
      </c>
      <c r="B60" s="18">
        <v>0.16209999999999999</v>
      </c>
      <c r="C60" s="18">
        <v>0.13789999999999999</v>
      </c>
      <c r="D60" s="18">
        <v>0.16209999999999999</v>
      </c>
      <c r="E60" s="18">
        <v>0.2762</v>
      </c>
      <c r="F60" s="18"/>
      <c r="G60" s="7">
        <v>24.32</v>
      </c>
      <c r="H60" s="18"/>
      <c r="J60" s="18"/>
      <c r="K60" s="18"/>
      <c r="L60" s="18"/>
      <c r="M60" s="18"/>
    </row>
    <row r="61" spans="1:13" x14ac:dyDescent="0.25">
      <c r="A61" s="17" t="s">
        <v>62</v>
      </c>
      <c r="B61" s="18">
        <v>8.8200000000000001E-2</v>
      </c>
      <c r="C61" s="18">
        <v>0</v>
      </c>
      <c r="D61" s="18">
        <v>0.47049999999999997</v>
      </c>
      <c r="E61" s="18">
        <v>0.26469999999999999</v>
      </c>
      <c r="F61" s="18"/>
      <c r="G61" s="18">
        <v>8.8200000000000001E-2</v>
      </c>
      <c r="H61" s="18">
        <v>2.9399999999999999E-2</v>
      </c>
      <c r="I61" s="18">
        <v>5.8799999999999998E-2</v>
      </c>
      <c r="J61" s="18"/>
      <c r="K61" s="18"/>
      <c r="L61" s="18"/>
      <c r="M61" s="18"/>
    </row>
    <row r="62" spans="1:13" x14ac:dyDescent="0.25">
      <c r="A62" s="17" t="s">
        <v>63</v>
      </c>
      <c r="B62" s="18">
        <v>0.1111</v>
      </c>
      <c r="C62" s="18">
        <v>0.14810000000000001</v>
      </c>
      <c r="D62" s="18">
        <v>0.25919999999999999</v>
      </c>
      <c r="E62" s="18">
        <v>0.25919999999999999</v>
      </c>
      <c r="F62" s="18"/>
      <c r="G62" s="18">
        <v>0.1111</v>
      </c>
      <c r="H62" s="18"/>
      <c r="I62" s="18">
        <v>0.1111</v>
      </c>
      <c r="J62" s="18"/>
      <c r="K62" s="18"/>
      <c r="L62" s="18"/>
      <c r="M62" s="18"/>
    </row>
    <row r="63" spans="1:13" x14ac:dyDescent="0.25">
      <c r="A63" s="17" t="s">
        <v>64</v>
      </c>
      <c r="B63" s="18">
        <v>0.25390000000000001</v>
      </c>
      <c r="C63" s="18">
        <v>0.14280000000000001</v>
      </c>
      <c r="D63" s="18">
        <v>0.27510000000000001</v>
      </c>
      <c r="E63" s="18">
        <v>0.16930000000000001</v>
      </c>
      <c r="F63" s="18"/>
      <c r="G63" s="18">
        <v>7.9299999999999995E-2</v>
      </c>
      <c r="H63" s="18">
        <v>1.0500000000000001E-2</v>
      </c>
      <c r="I63" s="18">
        <v>7.3999999999999996E-2</v>
      </c>
      <c r="J63" s="18"/>
      <c r="K63" s="18"/>
      <c r="L63" s="18"/>
      <c r="M63" s="18"/>
    </row>
    <row r="64" spans="1:13" x14ac:dyDescent="0.25">
      <c r="A64" s="17" t="s">
        <v>65</v>
      </c>
      <c r="B64" s="18">
        <v>8.8800000000000004E-2</v>
      </c>
      <c r="C64" s="18">
        <v>0.1555</v>
      </c>
      <c r="D64" s="18">
        <v>0.37769999999999998</v>
      </c>
      <c r="E64" s="18">
        <v>0.1777</v>
      </c>
      <c r="F64" s="18">
        <v>2.2200000000000001E-2</v>
      </c>
      <c r="G64" s="18">
        <v>2.2200000000000001E-2</v>
      </c>
      <c r="H64" s="18">
        <v>6.6600000000000006E-2</v>
      </c>
      <c r="I64" s="18">
        <v>8.8800000000000004E-2</v>
      </c>
      <c r="J64" s="18"/>
      <c r="K64" s="18"/>
      <c r="L64" s="18"/>
      <c r="M64" s="18"/>
    </row>
    <row r="65" spans="1:13" x14ac:dyDescent="0.25">
      <c r="A65" s="17" t="s">
        <v>66</v>
      </c>
      <c r="B65" s="18">
        <v>6.8900000000000003E-2</v>
      </c>
      <c r="C65" s="18">
        <v>8.6199999999999999E-2</v>
      </c>
      <c r="D65" s="18">
        <v>0.22409999999999999</v>
      </c>
      <c r="E65" s="18">
        <v>0.37930000000000003</v>
      </c>
      <c r="F65" s="18">
        <v>1.72E-2</v>
      </c>
      <c r="G65" s="18">
        <v>0.10340000000000001</v>
      </c>
      <c r="H65" s="18">
        <v>1.72E-2</v>
      </c>
      <c r="I65" s="18">
        <v>0.10340000000000001</v>
      </c>
      <c r="J65" s="18"/>
      <c r="K65" s="18"/>
      <c r="L65" s="18"/>
      <c r="M65" s="18"/>
    </row>
    <row r="66" spans="1:13" x14ac:dyDescent="0.25">
      <c r="A66" s="17" t="s">
        <v>67</v>
      </c>
      <c r="B66" s="18">
        <v>3.8399999999999997E-2</v>
      </c>
      <c r="C66" s="18">
        <v>7.6899999999999996E-2</v>
      </c>
      <c r="D66" s="18">
        <v>0.30759999999999998</v>
      </c>
      <c r="E66" s="18">
        <v>0.26919999999999999</v>
      </c>
      <c r="F66" s="18">
        <v>3.8399999999999997E-2</v>
      </c>
      <c r="G66" s="18">
        <v>0.15379999999999999</v>
      </c>
      <c r="H66" s="18"/>
      <c r="I66" s="18">
        <v>0.1153</v>
      </c>
      <c r="J66" s="18"/>
      <c r="K66" s="18"/>
      <c r="L66" s="18"/>
      <c r="M66" s="18"/>
    </row>
    <row r="67" spans="1:13" x14ac:dyDescent="0.25">
      <c r="A67" s="17" t="s">
        <v>68</v>
      </c>
      <c r="B67" s="18">
        <v>0.13039999999999999</v>
      </c>
      <c r="C67" s="18">
        <v>0.25800000000000001</v>
      </c>
      <c r="D67" s="18">
        <v>0.1724</v>
      </c>
      <c r="E67" s="18">
        <v>0.17</v>
      </c>
      <c r="F67" s="18"/>
      <c r="G67" s="18">
        <v>0.26919999999999999</v>
      </c>
      <c r="H67" s="18"/>
      <c r="I67" s="18"/>
      <c r="J67" s="18"/>
      <c r="K67" s="18"/>
      <c r="L67" s="18"/>
      <c r="M67" s="18"/>
    </row>
    <row r="68" spans="1:13" x14ac:dyDescent="0.25">
      <c r="A68" s="17" t="s">
        <v>69</v>
      </c>
      <c r="B68" s="18">
        <v>4.1599999999999998E-2</v>
      </c>
      <c r="C68" s="18">
        <v>0.16900000000000001</v>
      </c>
      <c r="D68" s="18">
        <v>0.30570000000000003</v>
      </c>
      <c r="E68" s="18">
        <v>0.19339999999999999</v>
      </c>
      <c r="F68" s="18"/>
      <c r="G68" s="18">
        <v>0.2903</v>
      </c>
      <c r="H68" s="18"/>
      <c r="I68" s="18"/>
      <c r="J68" s="18"/>
      <c r="K68" s="18"/>
      <c r="L68" s="18"/>
      <c r="M68" s="18"/>
    </row>
  </sheetData>
  <mergeCells count="3">
    <mergeCell ref="A22:M22"/>
    <mergeCell ref="A1:O1"/>
    <mergeCell ref="A55:M55"/>
  </mergeCells>
  <pageMargins left="0.7" right="0.7" top="0.75" bottom="0.75" header="0.3" footer="0.3"/>
  <pageSetup paperSize="9" scale="57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O68"/>
  <sheetViews>
    <sheetView topLeftCell="A37" workbookViewId="0">
      <selection activeCell="N11" sqref="N11"/>
    </sheetView>
  </sheetViews>
  <sheetFormatPr defaultColWidth="9" defaultRowHeight="15" x14ac:dyDescent="0.25"/>
  <cols>
    <col min="1" max="1" width="13.42578125" customWidth="1"/>
    <col min="2" max="2" width="9" bestFit="1" customWidth="1"/>
    <col min="3" max="3" width="8.7109375" bestFit="1" customWidth="1"/>
    <col min="5" max="5" width="10.42578125" customWidth="1"/>
    <col min="6" max="6" width="13.140625" customWidth="1"/>
    <col min="7" max="8" width="9" customWidth="1"/>
    <col min="9" max="9" width="10.5703125" customWidth="1"/>
    <col min="10" max="10" width="9.140625" bestFit="1" customWidth="1"/>
    <col min="11" max="15" width="9" customWidth="1"/>
    <col min="16" max="16" width="7.7109375" customWidth="1"/>
    <col min="17" max="18" width="9" customWidth="1"/>
  </cols>
  <sheetData>
    <row r="1" spans="1:15" x14ac:dyDescent="0.2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x14ac:dyDescent="0.25">
      <c r="A2" s="8"/>
      <c r="B2" s="12">
        <v>2024</v>
      </c>
      <c r="C2" s="12" t="s">
        <v>166</v>
      </c>
      <c r="D2" s="12" t="s">
        <v>58</v>
      </c>
      <c r="E2" s="12" t="s">
        <v>59</v>
      </c>
      <c r="F2" s="12" t="s">
        <v>60</v>
      </c>
      <c r="G2" s="12" t="s">
        <v>61</v>
      </c>
      <c r="H2" s="12" t="s">
        <v>62</v>
      </c>
      <c r="I2" s="12" t="s">
        <v>63</v>
      </c>
      <c r="J2" s="12" t="s">
        <v>64</v>
      </c>
      <c r="K2" s="12" t="s">
        <v>65</v>
      </c>
      <c r="L2" s="12" t="s">
        <v>66</v>
      </c>
      <c r="M2" s="12" t="s">
        <v>67</v>
      </c>
      <c r="N2" s="12" t="s">
        <v>68</v>
      </c>
      <c r="O2" s="12" t="s">
        <v>69</v>
      </c>
    </row>
    <row r="3" spans="1:15" x14ac:dyDescent="0.25">
      <c r="A3" s="12" t="s">
        <v>71</v>
      </c>
      <c r="B3" s="13"/>
      <c r="C3" s="14"/>
      <c r="D3" s="35">
        <v>1.9599999999999999E-2</v>
      </c>
      <c r="E3" s="14">
        <v>1.61E-2</v>
      </c>
      <c r="F3" s="14">
        <v>1.8700000000000001E-2</v>
      </c>
      <c r="G3" s="14">
        <v>2.64E-2</v>
      </c>
      <c r="H3" s="14">
        <v>0.1024</v>
      </c>
      <c r="I3" s="14">
        <v>0.21179999999999999</v>
      </c>
      <c r="J3" s="14">
        <v>0.1351</v>
      </c>
      <c r="K3" s="14">
        <v>6.4199999999999993E-2</v>
      </c>
      <c r="L3" s="14">
        <v>0.1079</v>
      </c>
      <c r="M3" s="14">
        <v>6.5000000000000002E-2</v>
      </c>
      <c r="N3" s="14">
        <v>6.9000000000000006E-2</v>
      </c>
      <c r="O3" s="14">
        <v>3.3799999999999997E-2</v>
      </c>
    </row>
    <row r="4" spans="1:15" x14ac:dyDescent="0.25">
      <c r="A4" s="12" t="s">
        <v>72</v>
      </c>
      <c r="B4" s="13"/>
      <c r="C4" s="14">
        <f>(D3+E3+F3+G3+H3+I3+J3+K3+L3+M3+N3+O3)/12</f>
        <v>7.2500000000000009E-2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21" spans="1:14" ht="6" customHeight="1" x14ac:dyDescent="0.25">
      <c r="A21" s="51" t="s">
        <v>93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</row>
    <row r="22" spans="1:14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 spans="1:14" ht="24" x14ac:dyDescent="0.25">
      <c r="A23" s="15" t="s">
        <v>73</v>
      </c>
      <c r="B23" s="16" t="s">
        <v>172</v>
      </c>
      <c r="C23" s="16" t="s">
        <v>95</v>
      </c>
      <c r="D23" s="16" t="s">
        <v>94</v>
      </c>
      <c r="E23" s="16" t="s">
        <v>173</v>
      </c>
      <c r="F23" s="16"/>
      <c r="G23" s="34"/>
      <c r="H23" s="16"/>
      <c r="I23" s="16"/>
      <c r="J23" s="16"/>
      <c r="K23" s="16"/>
      <c r="L23" s="16"/>
      <c r="M23" s="16"/>
      <c r="N23" s="16"/>
    </row>
    <row r="24" spans="1:14" x14ac:dyDescent="0.25">
      <c r="A24" s="17" t="s">
        <v>58</v>
      </c>
      <c r="B24" s="18">
        <v>5.1400000000000001E-2</v>
      </c>
      <c r="C24" s="18">
        <v>0.31509999999999999</v>
      </c>
      <c r="D24" s="18">
        <v>0.36969999999999997</v>
      </c>
      <c r="E24" s="18">
        <v>0.26960000000000001</v>
      </c>
      <c r="F24" s="18">
        <f>SUM(B24:E24)</f>
        <v>1.0058</v>
      </c>
      <c r="G24" s="18"/>
      <c r="H24" s="18"/>
      <c r="I24" s="18"/>
      <c r="J24" s="18"/>
      <c r="K24" s="18"/>
      <c r="L24" s="18"/>
      <c r="M24" s="18"/>
      <c r="N24" s="18"/>
    </row>
    <row r="25" spans="1:14" x14ac:dyDescent="0.25">
      <c r="A25" s="17" t="s">
        <v>59</v>
      </c>
      <c r="B25" s="18">
        <v>8.2900000000000001E-2</v>
      </c>
      <c r="C25" s="18">
        <v>0.2157</v>
      </c>
      <c r="D25" s="18">
        <v>0.33600000000000002</v>
      </c>
      <c r="E25" s="18">
        <v>0.36509999999999998</v>
      </c>
      <c r="F25" s="18">
        <f>SUM(B25:E25)</f>
        <v>0.99970000000000003</v>
      </c>
      <c r="G25" s="18"/>
      <c r="H25" s="18"/>
      <c r="I25" s="18"/>
      <c r="J25" s="18"/>
      <c r="K25" s="18"/>
      <c r="L25" s="18"/>
      <c r="M25" s="18"/>
      <c r="N25" s="18"/>
    </row>
    <row r="26" spans="1:14" x14ac:dyDescent="0.25">
      <c r="A26" s="17" t="s">
        <v>60</v>
      </c>
      <c r="B26" s="18">
        <v>7.7200000000000005E-2</v>
      </c>
      <c r="C26" s="18">
        <v>0.22</v>
      </c>
      <c r="D26" s="18">
        <v>0.30109999999999998</v>
      </c>
      <c r="E26" s="18">
        <v>0.40150000000000002</v>
      </c>
      <c r="F26" s="18">
        <f>SUM(B26:E26)</f>
        <v>0.99980000000000002</v>
      </c>
      <c r="G26" s="18"/>
      <c r="H26" s="18"/>
      <c r="I26" s="18"/>
      <c r="J26" s="18"/>
      <c r="K26" s="18"/>
      <c r="L26" s="18"/>
      <c r="M26" s="18"/>
      <c r="N26" s="18"/>
    </row>
    <row r="27" spans="1:14" x14ac:dyDescent="0.25">
      <c r="A27" s="17" t="s">
        <v>61</v>
      </c>
      <c r="B27" s="18">
        <v>0.26829999999999998</v>
      </c>
      <c r="C27" s="18">
        <v>0.34399999999999997</v>
      </c>
      <c r="D27" s="18">
        <v>0.35320000000000001</v>
      </c>
      <c r="E27" s="18">
        <v>3.44E-2</v>
      </c>
      <c r="F27" s="18">
        <v>0.99990000000000001</v>
      </c>
      <c r="G27" s="18"/>
      <c r="H27" s="18"/>
      <c r="I27" s="18"/>
      <c r="J27" s="18"/>
      <c r="K27" s="18"/>
      <c r="L27" s="18"/>
      <c r="M27" s="18"/>
      <c r="N27" s="18"/>
    </row>
    <row r="28" spans="1:14" x14ac:dyDescent="0.25">
      <c r="A28" s="17" t="s">
        <v>62</v>
      </c>
      <c r="B28" s="18">
        <v>0.76359999999999995</v>
      </c>
      <c r="C28" s="18">
        <v>8.0699999999999994E-2</v>
      </c>
      <c r="D28" s="18">
        <v>0.1017</v>
      </c>
      <c r="E28" s="18">
        <v>5.3800000000000001E-2</v>
      </c>
      <c r="F28" s="18">
        <v>0.99980000000000002</v>
      </c>
      <c r="G28" s="18"/>
      <c r="H28" s="18"/>
      <c r="I28" s="18"/>
      <c r="J28" s="18"/>
      <c r="K28" s="18"/>
      <c r="L28" s="18"/>
      <c r="M28" s="18"/>
      <c r="N28" s="18"/>
    </row>
    <row r="29" spans="1:14" x14ac:dyDescent="0.25">
      <c r="A29" s="17" t="s">
        <v>63</v>
      </c>
      <c r="B29" s="18">
        <v>0.71760000000000002</v>
      </c>
      <c r="C29" s="18">
        <v>0.20300000000000001</v>
      </c>
      <c r="D29" s="18">
        <v>5.9900000000000002E-2</v>
      </c>
      <c r="E29" s="18">
        <v>1.9300000000000001E-2</v>
      </c>
      <c r="F29" s="18">
        <f>SUM(B29:E29)</f>
        <v>0.99980000000000002</v>
      </c>
      <c r="G29" s="18"/>
      <c r="H29" s="18"/>
      <c r="I29" s="18"/>
      <c r="J29" s="18"/>
      <c r="K29" s="18"/>
      <c r="L29" s="18"/>
      <c r="M29" s="18"/>
      <c r="N29" s="18"/>
    </row>
    <row r="30" spans="1:14" x14ac:dyDescent="0.25">
      <c r="A30" s="17" t="s">
        <v>64</v>
      </c>
      <c r="B30" s="18">
        <v>0.18709999999999999</v>
      </c>
      <c r="C30" s="18">
        <v>0.71699999999999997</v>
      </c>
      <c r="D30" s="18">
        <v>6.1199999999999997E-2</v>
      </c>
      <c r="E30" s="18">
        <v>3.44E-2</v>
      </c>
      <c r="F30" s="18">
        <f>SUM(B30:E30)</f>
        <v>0.99969999999999992</v>
      </c>
      <c r="G30" s="18"/>
      <c r="H30" s="18"/>
      <c r="I30" s="18"/>
      <c r="J30" s="18"/>
      <c r="K30" s="18"/>
      <c r="L30" s="18"/>
      <c r="M30" s="18"/>
      <c r="N30" s="18"/>
    </row>
    <row r="31" spans="1:14" x14ac:dyDescent="0.25">
      <c r="A31" s="17" t="s">
        <v>65</v>
      </c>
      <c r="B31" s="18">
        <v>0.21079999999999999</v>
      </c>
      <c r="C31" s="18">
        <v>0.50900000000000001</v>
      </c>
      <c r="D31" s="18">
        <v>0.23549999999999999</v>
      </c>
      <c r="E31" s="18">
        <v>4.4400000000000002E-2</v>
      </c>
      <c r="F31" s="18">
        <f>SUM(B31:E31)</f>
        <v>0.99970000000000003</v>
      </c>
      <c r="G31" s="18"/>
      <c r="H31" s="18"/>
      <c r="I31" s="18"/>
      <c r="J31" s="18"/>
      <c r="K31" s="18"/>
      <c r="L31" s="18"/>
      <c r="M31" s="18"/>
      <c r="N31" s="18"/>
    </row>
    <row r="32" spans="1:14" x14ac:dyDescent="0.25">
      <c r="A32" s="17" t="s">
        <v>66</v>
      </c>
      <c r="B32" s="18">
        <v>0.10920000000000001</v>
      </c>
      <c r="C32" s="18">
        <v>0.59840000000000004</v>
      </c>
      <c r="D32" s="18">
        <v>0.2261</v>
      </c>
      <c r="E32" s="18">
        <v>6.6000000000000003E-2</v>
      </c>
      <c r="F32" s="18"/>
      <c r="G32" s="18"/>
      <c r="H32" s="18"/>
      <c r="I32" s="18"/>
      <c r="J32" s="18"/>
      <c r="K32" s="18"/>
      <c r="L32" s="18"/>
      <c r="M32" s="18"/>
      <c r="N32" s="18"/>
    </row>
    <row r="33" spans="1:14" x14ac:dyDescent="0.25">
      <c r="A33" s="17" t="s">
        <v>67</v>
      </c>
      <c r="B33" s="18">
        <v>0.1484</v>
      </c>
      <c r="C33" s="18">
        <v>0.66210000000000002</v>
      </c>
      <c r="D33" s="18">
        <v>0.1242</v>
      </c>
      <c r="E33" s="18">
        <v>6.5199999999999994E-2</v>
      </c>
      <c r="F33" s="18"/>
      <c r="G33" s="18"/>
      <c r="H33" s="18"/>
      <c r="I33" s="18"/>
      <c r="J33" s="18"/>
      <c r="K33" s="18"/>
      <c r="L33" s="18"/>
      <c r="M33" s="18"/>
      <c r="N33" s="18"/>
    </row>
    <row r="34" spans="1:14" x14ac:dyDescent="0.25">
      <c r="A34" s="17" t="s">
        <v>68</v>
      </c>
      <c r="B34" s="18"/>
      <c r="C34" s="18">
        <v>0.5181</v>
      </c>
      <c r="D34" s="18">
        <v>0.252</v>
      </c>
      <c r="E34" s="18">
        <v>0.2298</v>
      </c>
      <c r="F34" s="18"/>
      <c r="G34" s="18"/>
      <c r="H34" s="18"/>
      <c r="I34" s="18"/>
      <c r="J34" s="18"/>
      <c r="K34" s="18"/>
      <c r="L34" s="18"/>
      <c r="M34" s="18"/>
      <c r="N34" s="18"/>
    </row>
    <row r="35" spans="1:14" x14ac:dyDescent="0.25">
      <c r="A35" s="17" t="s">
        <v>69</v>
      </c>
      <c r="B35" s="18"/>
      <c r="C35" s="18">
        <v>0.54649999999999999</v>
      </c>
      <c r="D35" s="18">
        <v>0.26119999999999999</v>
      </c>
      <c r="E35" s="18">
        <v>0.19209999999999999</v>
      </c>
      <c r="F35" s="18"/>
      <c r="G35" s="18"/>
      <c r="H35" s="18"/>
      <c r="I35" s="18"/>
      <c r="J35" s="18"/>
      <c r="K35" s="18"/>
      <c r="L35" s="18"/>
      <c r="M35" s="18"/>
      <c r="N35" s="18"/>
    </row>
    <row r="54" spans="1:13" ht="6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3" x14ac:dyDescent="0.25">
      <c r="A55" s="49" t="s">
        <v>96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 ht="24" x14ac:dyDescent="0.25">
      <c r="A56" s="15" t="s">
        <v>81</v>
      </c>
      <c r="B56" s="16" t="s">
        <v>174</v>
      </c>
      <c r="C56" s="16" t="s">
        <v>175</v>
      </c>
      <c r="D56" s="16" t="s">
        <v>176</v>
      </c>
      <c r="E56" s="16" t="s">
        <v>177</v>
      </c>
      <c r="F56" s="16" t="s">
        <v>178</v>
      </c>
      <c r="G56" s="16"/>
      <c r="H56" s="16"/>
      <c r="I56" s="16"/>
      <c r="J56" s="16"/>
      <c r="K56" s="16"/>
      <c r="L56" s="16" t="s">
        <v>77</v>
      </c>
      <c r="M56" s="16" t="s">
        <v>78</v>
      </c>
    </row>
    <row r="57" spans="1:13" x14ac:dyDescent="0.25">
      <c r="A57" s="17" t="s">
        <v>58</v>
      </c>
      <c r="B57" s="18">
        <v>0.4405</v>
      </c>
      <c r="C57" s="18">
        <v>0.33439999999999998</v>
      </c>
      <c r="D57" s="18">
        <v>0.22500000000000001</v>
      </c>
      <c r="E57" s="18"/>
      <c r="F57" s="18"/>
      <c r="G57" s="18"/>
      <c r="H57" s="18"/>
      <c r="I57" s="18"/>
      <c r="J57" s="18"/>
      <c r="K57" s="18"/>
      <c r="L57" s="18"/>
      <c r="M57" s="18"/>
    </row>
    <row r="58" spans="1:13" x14ac:dyDescent="0.25">
      <c r="A58" s="17" t="s">
        <v>59</v>
      </c>
      <c r="B58" s="18">
        <v>0.34429999999999999</v>
      </c>
      <c r="C58" s="18">
        <v>0.31119999999999998</v>
      </c>
      <c r="D58" s="18">
        <v>0.34429999999999999</v>
      </c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25">
      <c r="A59" s="17" t="s">
        <v>60</v>
      </c>
      <c r="B59" s="18">
        <v>0.3745</v>
      </c>
      <c r="C59" s="18">
        <v>0.35899999999999999</v>
      </c>
      <c r="D59" s="18">
        <v>0.26640000000000003</v>
      </c>
      <c r="E59" s="18"/>
      <c r="F59" s="18"/>
      <c r="G59" s="18"/>
      <c r="H59" s="18"/>
      <c r="I59" s="18"/>
      <c r="J59" s="18"/>
      <c r="K59" s="18"/>
      <c r="L59" s="18"/>
      <c r="M59" s="18"/>
    </row>
    <row r="60" spans="1:13" x14ac:dyDescent="0.25">
      <c r="A60" s="17" t="s">
        <v>61</v>
      </c>
      <c r="B60" s="18">
        <v>0.42959999999999998</v>
      </c>
      <c r="C60" s="18">
        <v>0.35149999999999998</v>
      </c>
      <c r="D60" s="18">
        <v>0.21870000000000001</v>
      </c>
      <c r="E60" s="18"/>
      <c r="F60" s="18"/>
      <c r="G60" s="18"/>
      <c r="H60" s="18"/>
      <c r="I60" s="18"/>
      <c r="J60" s="18"/>
      <c r="K60" s="18"/>
      <c r="L60" s="18"/>
      <c r="M60" s="18"/>
    </row>
    <row r="61" spans="1:13" x14ac:dyDescent="0.25">
      <c r="A61" s="17" t="s">
        <v>62</v>
      </c>
      <c r="B61" s="18">
        <v>0.33810000000000001</v>
      </c>
      <c r="C61" s="18">
        <v>0.30430000000000001</v>
      </c>
      <c r="D61" s="18">
        <v>0.3574</v>
      </c>
      <c r="E61" s="18"/>
      <c r="F61" s="18"/>
      <c r="G61" s="18"/>
      <c r="H61" s="18"/>
      <c r="I61" s="18"/>
      <c r="J61" s="18"/>
      <c r="K61" s="18"/>
      <c r="L61" s="18"/>
      <c r="M61" s="18"/>
    </row>
    <row r="62" spans="1:13" x14ac:dyDescent="0.25">
      <c r="A62" s="17" t="s">
        <v>63</v>
      </c>
      <c r="B62" s="18">
        <v>0.47260000000000002</v>
      </c>
      <c r="C62" s="18">
        <v>0.2576</v>
      </c>
      <c r="D62" s="18">
        <v>0.2697</v>
      </c>
      <c r="E62" s="18"/>
      <c r="F62" s="18"/>
      <c r="G62" s="18"/>
      <c r="H62" s="18"/>
      <c r="I62" s="18"/>
      <c r="J62" s="18"/>
      <c r="K62" s="18"/>
      <c r="L62" s="18"/>
      <c r="M62" s="18"/>
    </row>
    <row r="63" spans="1:13" x14ac:dyDescent="0.25">
      <c r="A63" s="17" t="s">
        <v>64</v>
      </c>
      <c r="B63" s="18">
        <v>0.34510000000000002</v>
      </c>
      <c r="C63" s="18">
        <v>0.34320000000000001</v>
      </c>
      <c r="D63" s="18">
        <v>0.30969999999999998</v>
      </c>
      <c r="E63" s="18"/>
      <c r="F63" s="18"/>
      <c r="G63" s="18"/>
      <c r="H63" s="18"/>
      <c r="I63" s="18"/>
      <c r="J63" s="18"/>
      <c r="K63" s="18"/>
      <c r="L63" s="18"/>
      <c r="M63" s="18"/>
    </row>
    <row r="64" spans="1:13" x14ac:dyDescent="0.25">
      <c r="A64" s="17" t="s">
        <v>65</v>
      </c>
      <c r="B64" s="18">
        <v>0.63260000000000005</v>
      </c>
      <c r="C64" s="18"/>
      <c r="D64" s="18">
        <v>0.36730000000000002</v>
      </c>
      <c r="E64" s="18"/>
      <c r="F64" s="18"/>
      <c r="G64" s="18"/>
      <c r="H64" s="18"/>
      <c r="I64" s="18"/>
      <c r="J64" s="18"/>
      <c r="K64" s="18"/>
      <c r="L64" s="18"/>
      <c r="M64" s="18"/>
    </row>
    <row r="65" spans="1:13" x14ac:dyDescent="0.25">
      <c r="A65" s="17" t="s">
        <v>66</v>
      </c>
      <c r="B65" s="18">
        <v>0.58320000000000005</v>
      </c>
      <c r="C65" s="18"/>
      <c r="D65" s="18">
        <v>0.41670000000000001</v>
      </c>
      <c r="E65" s="18"/>
      <c r="F65" s="18"/>
      <c r="G65" s="18"/>
      <c r="H65" s="18"/>
      <c r="I65" s="18"/>
      <c r="J65" s="18"/>
      <c r="K65" s="18"/>
      <c r="L65" s="18"/>
      <c r="M65" s="18"/>
    </row>
    <row r="66" spans="1:13" x14ac:dyDescent="0.25">
      <c r="A66" s="17" t="s">
        <v>67</v>
      </c>
      <c r="B66" s="18">
        <v>0.53220000000000001</v>
      </c>
      <c r="C66" s="18"/>
      <c r="D66" s="18">
        <v>0.4677</v>
      </c>
      <c r="E66" s="18"/>
      <c r="F66" s="18"/>
      <c r="G66" s="18"/>
      <c r="H66" s="18"/>
      <c r="I66" s="18"/>
      <c r="J66" s="18"/>
      <c r="K66" s="18"/>
      <c r="L66" s="18"/>
      <c r="M66" s="18"/>
    </row>
    <row r="67" spans="1:13" x14ac:dyDescent="0.25">
      <c r="A67" s="17" t="s">
        <v>68</v>
      </c>
      <c r="B67" s="18">
        <v>0.4052</v>
      </c>
      <c r="C67" s="18">
        <v>0.48380000000000001</v>
      </c>
      <c r="D67" s="18"/>
      <c r="E67" s="18">
        <v>0.1108</v>
      </c>
      <c r="F67" s="18"/>
      <c r="G67" s="18"/>
      <c r="H67" s="18"/>
      <c r="I67" s="18"/>
      <c r="J67" s="18"/>
      <c r="K67" s="18"/>
      <c r="L67" s="18"/>
      <c r="M67" s="18"/>
    </row>
    <row r="68" spans="1:13" x14ac:dyDescent="0.25">
      <c r="A68" s="17" t="s">
        <v>69</v>
      </c>
      <c r="B68" s="18">
        <v>0.36630000000000001</v>
      </c>
      <c r="C68" s="18">
        <v>0.4264</v>
      </c>
      <c r="E68" s="18">
        <v>0.2072</v>
      </c>
      <c r="F68" s="18"/>
      <c r="G68" s="18"/>
      <c r="H68" s="18"/>
      <c r="I68" s="18"/>
      <c r="J68" s="18"/>
      <c r="K68" s="18"/>
      <c r="L68" s="18"/>
      <c r="M68" s="18"/>
    </row>
  </sheetData>
  <mergeCells count="3">
    <mergeCell ref="A1:O1"/>
    <mergeCell ref="A55:M55"/>
    <mergeCell ref="A21:N22"/>
  </mergeCells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O35"/>
  <sheetViews>
    <sheetView topLeftCell="A22" workbookViewId="0">
      <selection activeCell="P33" sqref="P33"/>
    </sheetView>
  </sheetViews>
  <sheetFormatPr defaultColWidth="9" defaultRowHeight="15" x14ac:dyDescent="0.25"/>
  <cols>
    <col min="1" max="1" width="13.42578125" customWidth="1"/>
    <col min="2" max="2" width="11.7109375" customWidth="1"/>
    <col min="3" max="3" width="12" customWidth="1"/>
    <col min="4" max="4" width="14.5703125" customWidth="1"/>
    <col min="6" max="15" width="9" customWidth="1"/>
    <col min="16" max="16" width="7.7109375" customWidth="1"/>
    <col min="17" max="18" width="9" customWidth="1"/>
  </cols>
  <sheetData>
    <row r="1" spans="1:15" x14ac:dyDescent="0.25">
      <c r="A1" s="50" t="s">
        <v>97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x14ac:dyDescent="0.25">
      <c r="A2" s="8"/>
      <c r="B2" s="12">
        <v>2024</v>
      </c>
      <c r="C2" s="12" t="s">
        <v>166</v>
      </c>
      <c r="D2" s="12" t="s">
        <v>58</v>
      </c>
      <c r="E2" s="12" t="s">
        <v>59</v>
      </c>
      <c r="F2" s="12" t="s">
        <v>60</v>
      </c>
      <c r="G2" s="12" t="s">
        <v>61</v>
      </c>
      <c r="H2" s="12" t="s">
        <v>62</v>
      </c>
      <c r="I2" s="12" t="s">
        <v>63</v>
      </c>
      <c r="J2" s="12" t="s">
        <v>64</v>
      </c>
      <c r="K2" s="12" t="s">
        <v>65</v>
      </c>
      <c r="L2" s="12" t="s">
        <v>66</v>
      </c>
      <c r="M2" s="12" t="s">
        <v>67</v>
      </c>
      <c r="N2" s="12" t="s">
        <v>68</v>
      </c>
      <c r="O2" s="12" t="s">
        <v>69</v>
      </c>
    </row>
    <row r="3" spans="1:15" x14ac:dyDescent="0.25">
      <c r="A3" s="12" t="s">
        <v>71</v>
      </c>
      <c r="B3" s="13"/>
      <c r="C3" s="14"/>
      <c r="D3" s="14">
        <v>2.2599999999999999E-2</v>
      </c>
      <c r="E3" s="14">
        <v>2.92E-2</v>
      </c>
      <c r="F3" s="14">
        <v>3.6999999999999998E-2</v>
      </c>
      <c r="G3" s="14">
        <v>6.3200000000000006E-2</v>
      </c>
      <c r="H3" s="14">
        <v>5.2999999999999999E-2</v>
      </c>
      <c r="I3" s="14">
        <v>4.8500000000000001E-2</v>
      </c>
      <c r="J3" s="14">
        <v>1.67E-2</v>
      </c>
      <c r="K3" s="14">
        <v>4.4499999999999998E-2</v>
      </c>
      <c r="L3" s="14">
        <v>1.8800000000000001E-2</v>
      </c>
      <c r="M3" s="14">
        <v>1.41E-2</v>
      </c>
      <c r="N3" s="14">
        <v>3.49E-2</v>
      </c>
      <c r="O3" s="14">
        <v>1.4500000000000001E-2</v>
      </c>
    </row>
    <row r="4" spans="1:15" x14ac:dyDescent="0.25">
      <c r="A4" s="12" t="s">
        <v>72</v>
      </c>
      <c r="B4" s="13"/>
      <c r="C4" s="14">
        <f>(D3+E3+F3+G3+H3+I3+J3+K3+L3+M3+N3+O3)/12</f>
        <v>3.3083333333333333E-2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21" spans="1:13" ht="6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3" x14ac:dyDescent="0.25">
      <c r="A22" s="49" t="s">
        <v>98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 ht="32.1" customHeight="1" x14ac:dyDescent="0.25">
      <c r="A23" s="15" t="s">
        <v>81</v>
      </c>
      <c r="B23" s="36" t="s">
        <v>174</v>
      </c>
      <c r="C23" s="36" t="s">
        <v>175</v>
      </c>
      <c r="D23" s="36" t="s">
        <v>176</v>
      </c>
      <c r="E23" s="16" t="s">
        <v>82</v>
      </c>
      <c r="F23" s="16" t="s">
        <v>83</v>
      </c>
      <c r="G23" s="16" t="s">
        <v>84</v>
      </c>
      <c r="H23" s="16"/>
      <c r="I23" s="16"/>
      <c r="J23" s="16"/>
      <c r="K23" s="16"/>
      <c r="L23" s="16" t="s">
        <v>77</v>
      </c>
      <c r="M23" s="16" t="s">
        <v>78</v>
      </c>
    </row>
    <row r="24" spans="1:13" ht="19.5" customHeight="1" x14ac:dyDescent="0.25">
      <c r="A24" s="17" t="s">
        <v>58</v>
      </c>
      <c r="B24" s="18">
        <v>0.22919999999999999</v>
      </c>
      <c r="C24" s="18">
        <v>0.29210000000000003</v>
      </c>
      <c r="D24" s="18">
        <v>0.22389999999999999</v>
      </c>
      <c r="E24" s="18">
        <v>0.25459999999999999</v>
      </c>
      <c r="F24" s="18"/>
      <c r="G24" s="18"/>
      <c r="H24" s="18"/>
      <c r="I24" s="18"/>
      <c r="J24" s="18"/>
      <c r="K24" s="18"/>
      <c r="L24" s="18"/>
      <c r="M24" s="18"/>
    </row>
    <row r="25" spans="1:13" x14ac:dyDescent="0.25">
      <c r="A25" s="17" t="s">
        <v>59</v>
      </c>
      <c r="B25" s="18">
        <v>0.23039999999999999</v>
      </c>
      <c r="C25" s="18">
        <v>0.24279999999999999</v>
      </c>
      <c r="D25" s="18">
        <v>0.30349999999999999</v>
      </c>
      <c r="E25" s="18">
        <v>0.22320000000000001</v>
      </c>
      <c r="F25" s="18"/>
      <c r="G25" s="18"/>
      <c r="H25" s="18"/>
      <c r="I25" s="18"/>
      <c r="J25" s="18"/>
      <c r="K25" s="18"/>
      <c r="L25" s="18"/>
      <c r="M25" s="18"/>
    </row>
    <row r="26" spans="1:13" x14ac:dyDescent="0.25">
      <c r="A26" s="17" t="s">
        <v>60</v>
      </c>
      <c r="B26" s="18">
        <v>0.28270000000000001</v>
      </c>
      <c r="C26" s="18">
        <v>0.129</v>
      </c>
      <c r="D26" s="18">
        <v>0.14380000000000001</v>
      </c>
      <c r="E26" s="18">
        <v>0.44429999999999997</v>
      </c>
      <c r="F26" s="18"/>
      <c r="G26" s="18"/>
      <c r="H26" s="18"/>
      <c r="I26" s="18"/>
      <c r="J26" s="18"/>
      <c r="K26" s="18"/>
      <c r="L26" s="18"/>
      <c r="M26" s="18"/>
    </row>
    <row r="27" spans="1:13" x14ac:dyDescent="0.25">
      <c r="A27" s="17" t="s">
        <v>61</v>
      </c>
      <c r="B27" s="18">
        <v>0.2457</v>
      </c>
      <c r="C27" s="18">
        <v>0.1318</v>
      </c>
      <c r="D27" s="18">
        <v>9.1899999999999996E-2</v>
      </c>
      <c r="E27" s="18">
        <v>0.53029999999999999</v>
      </c>
      <c r="F27" s="18"/>
      <c r="G27" s="18"/>
      <c r="H27" s="18"/>
      <c r="I27" s="18"/>
      <c r="J27" s="18"/>
      <c r="K27" s="18"/>
      <c r="L27" s="18"/>
      <c r="M27" s="18"/>
    </row>
    <row r="28" spans="1:13" x14ac:dyDescent="0.25">
      <c r="A28" s="17" t="s">
        <v>62</v>
      </c>
      <c r="B28" s="18">
        <v>0.15060000000000001</v>
      </c>
      <c r="C28" s="18">
        <v>3.0499999999999999E-2</v>
      </c>
      <c r="D28" s="18">
        <v>8.9300000000000004E-2</v>
      </c>
      <c r="E28" s="18">
        <v>0.70709999999999995</v>
      </c>
      <c r="F28" s="18">
        <v>2.8E-3</v>
      </c>
      <c r="G28" s="18">
        <v>1.9400000000000001E-2</v>
      </c>
      <c r="H28" s="18"/>
      <c r="I28" s="18"/>
      <c r="J28" s="18"/>
      <c r="K28" s="18"/>
      <c r="L28" s="18"/>
      <c r="M28" s="18"/>
    </row>
    <row r="29" spans="1:13" x14ac:dyDescent="0.25">
      <c r="A29" s="17" t="s">
        <v>63</v>
      </c>
      <c r="B29" s="18">
        <v>9.8400000000000001E-2</v>
      </c>
      <c r="C29" s="18">
        <v>2.86E-2</v>
      </c>
      <c r="D29" s="18">
        <v>2.8299999999999999E-2</v>
      </c>
      <c r="E29" s="18">
        <v>0.82969999999999999</v>
      </c>
      <c r="F29" s="18"/>
      <c r="G29" s="18">
        <v>1.47E-2</v>
      </c>
      <c r="H29" s="18"/>
      <c r="I29" s="18"/>
      <c r="J29" s="18"/>
      <c r="K29" s="18"/>
      <c r="L29" s="18"/>
      <c r="M29" s="18"/>
    </row>
    <row r="30" spans="1:13" x14ac:dyDescent="0.25">
      <c r="A30" s="17" t="s">
        <v>64</v>
      </c>
      <c r="B30" s="18">
        <v>0.85399999999999998</v>
      </c>
      <c r="C30" s="18">
        <v>6.1600000000000002E-2</v>
      </c>
      <c r="D30" s="18">
        <v>8.4199999999999997E-2</v>
      </c>
      <c r="E30" s="18"/>
      <c r="F30" s="18"/>
      <c r="G30" s="18"/>
      <c r="H30" s="18"/>
      <c r="I30" s="18"/>
      <c r="J30" s="18"/>
      <c r="K30" s="18"/>
      <c r="L30" s="18"/>
      <c r="M30" s="18"/>
    </row>
    <row r="31" spans="1:13" x14ac:dyDescent="0.25">
      <c r="A31" s="17" t="s">
        <v>65</v>
      </c>
      <c r="B31" s="18">
        <v>0.96919999999999995</v>
      </c>
      <c r="C31" s="18"/>
      <c r="D31" s="18">
        <v>3.0700000000000002E-2</v>
      </c>
      <c r="E31" s="18"/>
      <c r="F31" s="18"/>
      <c r="G31" s="18"/>
      <c r="H31" s="18"/>
      <c r="I31" s="18"/>
      <c r="J31" s="18"/>
      <c r="K31" s="18"/>
      <c r="L31" s="18"/>
      <c r="M31" s="18"/>
    </row>
    <row r="32" spans="1:13" x14ac:dyDescent="0.25">
      <c r="A32" s="17" t="s">
        <v>66</v>
      </c>
      <c r="B32" s="18">
        <v>0.97309999999999997</v>
      </c>
      <c r="C32" s="18"/>
      <c r="D32" s="18">
        <v>2.6800000000000001E-2</v>
      </c>
      <c r="E32" s="18"/>
      <c r="F32" s="18"/>
      <c r="G32" s="18"/>
      <c r="H32" s="18"/>
      <c r="I32" s="18"/>
      <c r="J32" s="18"/>
      <c r="K32" s="18"/>
      <c r="L32" s="18"/>
      <c r="M32" s="18"/>
    </row>
    <row r="33" spans="1:13" x14ac:dyDescent="0.25">
      <c r="A33" s="17" t="s">
        <v>67</v>
      </c>
      <c r="B33" s="18">
        <v>0.62749999999999995</v>
      </c>
      <c r="C33" s="18"/>
      <c r="D33" s="18">
        <v>0.37240000000000001</v>
      </c>
      <c r="E33" s="18"/>
      <c r="F33" s="18"/>
      <c r="G33" s="18"/>
      <c r="H33" s="18"/>
      <c r="I33" s="18"/>
      <c r="J33" s="18"/>
      <c r="K33" s="18"/>
      <c r="L33" s="18"/>
      <c r="M33" s="18"/>
    </row>
    <row r="34" spans="1:13" x14ac:dyDescent="0.25">
      <c r="A34" s="17" t="s">
        <v>68</v>
      </c>
      <c r="B34" s="18">
        <v>0.20530000000000001</v>
      </c>
      <c r="C34" s="18">
        <v>0.16639999999999999</v>
      </c>
      <c r="D34" s="18"/>
      <c r="E34" s="18">
        <v>0.62819999999999998</v>
      </c>
      <c r="F34" s="18"/>
      <c r="G34" s="18"/>
      <c r="H34" s="18"/>
      <c r="I34" s="18"/>
      <c r="J34" s="18"/>
      <c r="K34" s="18"/>
      <c r="L34" s="18"/>
      <c r="M34" s="18"/>
    </row>
    <row r="35" spans="1:13" x14ac:dyDescent="0.25">
      <c r="A35" s="17" t="s">
        <v>69</v>
      </c>
      <c r="B35" s="18">
        <v>9.0200000000000002E-2</v>
      </c>
      <c r="C35" s="18">
        <v>0.1168</v>
      </c>
      <c r="D35" s="18"/>
      <c r="E35" s="18">
        <v>0.79279999999999995</v>
      </c>
      <c r="F35" s="18"/>
      <c r="G35" s="18"/>
      <c r="H35" s="18"/>
      <c r="I35" s="18"/>
      <c r="J35" s="18"/>
      <c r="K35" s="18"/>
      <c r="L35" s="18"/>
      <c r="M35" s="18"/>
    </row>
  </sheetData>
  <mergeCells count="2">
    <mergeCell ref="A1:O1"/>
    <mergeCell ref="A22:M22"/>
  </mergeCells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N27"/>
  <sheetViews>
    <sheetView workbookViewId="0">
      <selection activeCell="H2" sqref="H2"/>
    </sheetView>
  </sheetViews>
  <sheetFormatPr defaultColWidth="8.85546875" defaultRowHeight="15" outlineLevelRow="1" x14ac:dyDescent="0.25"/>
  <cols>
    <col min="1" max="1" width="16.28515625" style="1" customWidth="1"/>
    <col min="2" max="2" width="11.140625" customWidth="1"/>
    <col min="3" max="3" width="16.5703125" customWidth="1"/>
    <col min="4" max="8" width="11.140625" customWidth="1"/>
    <col min="9" max="9" width="11.140625" style="1" customWidth="1"/>
    <col min="10" max="10" width="9.7109375" style="1" customWidth="1"/>
    <col min="11" max="11" width="18.5703125" style="1" customWidth="1"/>
    <col min="12" max="12" width="15.5703125" style="1" customWidth="1"/>
    <col min="13" max="14" width="9.7109375" style="1" customWidth="1"/>
  </cols>
  <sheetData>
    <row r="1" spans="1:14" x14ac:dyDescent="0.25">
      <c r="A1" s="50" t="s">
        <v>107</v>
      </c>
      <c r="B1" s="50"/>
      <c r="C1" s="50"/>
    </row>
    <row r="2" spans="1:14" s="4" customFormat="1" ht="45" x14ac:dyDescent="0.25">
      <c r="A2" s="6" t="s">
        <v>30</v>
      </c>
      <c r="B2" s="6" t="s">
        <v>100</v>
      </c>
      <c r="C2" s="6" t="s">
        <v>191</v>
      </c>
      <c r="D2" s="6" t="s">
        <v>192</v>
      </c>
      <c r="I2" s="22"/>
      <c r="J2" s="22"/>
      <c r="K2" s="22"/>
    </row>
    <row r="3" spans="1:14" x14ac:dyDescent="0.25">
      <c r="A3" s="8" t="s">
        <v>204</v>
      </c>
      <c r="B3" s="45">
        <v>600</v>
      </c>
      <c r="C3" s="46">
        <f>D3/B3</f>
        <v>0.53333333333333333</v>
      </c>
      <c r="D3" s="47">
        <v>320</v>
      </c>
      <c r="L3"/>
      <c r="M3"/>
      <c r="N3"/>
    </row>
    <row r="4" spans="1:14" x14ac:dyDescent="0.25">
      <c r="A4" s="8" t="s">
        <v>205</v>
      </c>
      <c r="B4" s="45">
        <v>586</v>
      </c>
      <c r="C4" s="46">
        <f>D4/B4</f>
        <v>1.6040955631399318</v>
      </c>
      <c r="D4" s="45">
        <v>940</v>
      </c>
      <c r="L4"/>
      <c r="M4"/>
      <c r="N4"/>
    </row>
    <row r="5" spans="1:14" x14ac:dyDescent="0.25">
      <c r="A5" s="8" t="s">
        <v>218</v>
      </c>
      <c r="B5" s="45">
        <v>321</v>
      </c>
      <c r="C5" s="46">
        <f>D5/B5</f>
        <v>0.77258566978193144</v>
      </c>
      <c r="D5" s="45">
        <v>248</v>
      </c>
      <c r="L5"/>
      <c r="M5"/>
      <c r="N5"/>
    </row>
    <row r="6" spans="1:14" x14ac:dyDescent="0.25">
      <c r="A6" s="8" t="s">
        <v>219</v>
      </c>
      <c r="B6" s="45">
        <v>357</v>
      </c>
      <c r="C6" s="46">
        <f>D6/B6</f>
        <v>0.89915966386554624</v>
      </c>
      <c r="D6" s="45">
        <v>321</v>
      </c>
      <c r="L6"/>
      <c r="M6"/>
      <c r="N6"/>
    </row>
    <row r="7" spans="1:14" x14ac:dyDescent="0.25">
      <c r="L7"/>
      <c r="M7"/>
      <c r="N7"/>
    </row>
    <row r="8" spans="1:14" x14ac:dyDescent="0.25">
      <c r="L8"/>
      <c r="M8"/>
      <c r="N8"/>
    </row>
    <row r="9" spans="1:14" x14ac:dyDescent="0.25">
      <c r="L9"/>
      <c r="M9"/>
      <c r="N9"/>
    </row>
    <row r="10" spans="1:14" x14ac:dyDescent="0.25">
      <c r="L10"/>
      <c r="M10"/>
      <c r="N10"/>
    </row>
    <row r="11" spans="1:14" x14ac:dyDescent="0.25">
      <c r="L11"/>
      <c r="M11"/>
      <c r="N11"/>
    </row>
    <row r="12" spans="1:14" x14ac:dyDescent="0.25">
      <c r="L12"/>
      <c r="M12"/>
      <c r="N12"/>
    </row>
    <row r="13" spans="1:14" x14ac:dyDescent="0.25">
      <c r="L13"/>
      <c r="M13"/>
      <c r="N13"/>
    </row>
    <row r="14" spans="1:14" x14ac:dyDescent="0.25">
      <c r="L14"/>
      <c r="M14"/>
      <c r="N14"/>
    </row>
    <row r="15" spans="1:14" x14ac:dyDescent="0.25">
      <c r="L15"/>
      <c r="M15"/>
      <c r="N15"/>
    </row>
    <row r="16" spans="1:14" x14ac:dyDescent="0.25">
      <c r="L16"/>
      <c r="M16"/>
      <c r="N16"/>
    </row>
    <row r="17" spans="1:14" x14ac:dyDescent="0.25">
      <c r="L17"/>
      <c r="M17"/>
      <c r="N17"/>
    </row>
    <row r="18" spans="1:14" x14ac:dyDescent="0.25">
      <c r="L18"/>
      <c r="M18"/>
      <c r="N18"/>
    </row>
    <row r="19" spans="1:14" x14ac:dyDescent="0.25">
      <c r="L19"/>
      <c r="M19"/>
      <c r="N19"/>
    </row>
    <row r="20" spans="1:14" x14ac:dyDescent="0.25">
      <c r="L20"/>
      <c r="M20"/>
      <c r="N20"/>
    </row>
    <row r="21" spans="1:14" x14ac:dyDescent="0.25">
      <c r="L21"/>
      <c r="M21"/>
      <c r="N21"/>
    </row>
    <row r="22" spans="1:14" outlineLevel="1" x14ac:dyDescent="0.25">
      <c r="A22" s="23"/>
      <c r="B22" s="19"/>
      <c r="C22" s="19"/>
      <c r="D22" s="19"/>
      <c r="E22" s="19"/>
      <c r="F22" s="19"/>
      <c r="G22" s="19"/>
      <c r="H22" s="19"/>
      <c r="I22" s="23"/>
      <c r="L22"/>
      <c r="M22"/>
      <c r="N22"/>
    </row>
    <row r="23" spans="1:14" x14ac:dyDescent="0.25">
      <c r="A23" s="54" t="s">
        <v>99</v>
      </c>
      <c r="B23" s="56" t="s">
        <v>168</v>
      </c>
      <c r="C23" s="57"/>
      <c r="D23" s="53" t="s">
        <v>169</v>
      </c>
      <c r="E23" s="53"/>
      <c r="F23" s="53" t="s">
        <v>170</v>
      </c>
      <c r="G23" s="53"/>
      <c r="H23" s="53" t="s">
        <v>179</v>
      </c>
      <c r="I23" s="53"/>
      <c r="L23"/>
      <c r="M23"/>
      <c r="N23"/>
    </row>
    <row r="24" spans="1:14" ht="22.5" x14ac:dyDescent="0.25">
      <c r="A24" s="55"/>
      <c r="B24" s="20" t="s">
        <v>101</v>
      </c>
      <c r="C24" s="20" t="s">
        <v>102</v>
      </c>
      <c r="D24" s="20" t="s">
        <v>101</v>
      </c>
      <c r="E24" s="20" t="s">
        <v>102</v>
      </c>
      <c r="F24" s="20" t="s">
        <v>101</v>
      </c>
      <c r="G24" s="20" t="s">
        <v>102</v>
      </c>
      <c r="H24" s="20" t="s">
        <v>101</v>
      </c>
      <c r="I24" s="20" t="s">
        <v>102</v>
      </c>
    </row>
    <row r="25" spans="1:14" x14ac:dyDescent="0.25">
      <c r="A25" s="8" t="s">
        <v>103</v>
      </c>
      <c r="B25" s="24" t="s">
        <v>181</v>
      </c>
      <c r="C25" s="21">
        <v>0.3</v>
      </c>
      <c r="D25" s="24">
        <v>0</v>
      </c>
      <c r="E25" s="21">
        <v>0</v>
      </c>
      <c r="F25" s="24">
        <v>0</v>
      </c>
      <c r="G25" s="21">
        <v>0</v>
      </c>
      <c r="H25" s="24">
        <v>0</v>
      </c>
      <c r="I25" s="21">
        <v>0</v>
      </c>
      <c r="K25" s="25"/>
    </row>
    <row r="26" spans="1:14" x14ac:dyDescent="0.25">
      <c r="A26" s="8" t="s">
        <v>104</v>
      </c>
      <c r="B26" s="24" t="s">
        <v>180</v>
      </c>
      <c r="C26" s="21">
        <v>0.35</v>
      </c>
      <c r="D26" s="24">
        <v>1.36</v>
      </c>
      <c r="E26" s="21">
        <v>1.3599999999999999E-2</v>
      </c>
      <c r="F26" s="24">
        <v>1</v>
      </c>
      <c r="G26" s="21">
        <v>7.4999999999999997E-3</v>
      </c>
      <c r="H26" s="24">
        <v>1</v>
      </c>
      <c r="I26" s="21">
        <v>1.0500000000000001E-2</v>
      </c>
      <c r="K26" s="25"/>
    </row>
    <row r="27" spans="1:14" x14ac:dyDescent="0.25">
      <c r="A27" s="8" t="s">
        <v>106</v>
      </c>
      <c r="B27" s="24" t="s">
        <v>180</v>
      </c>
      <c r="C27" s="21">
        <v>0.35</v>
      </c>
      <c r="D27" s="24">
        <v>1</v>
      </c>
      <c r="E27" s="21">
        <v>1.3599999999999999E-2</v>
      </c>
      <c r="F27" s="24">
        <v>1</v>
      </c>
      <c r="G27" s="21">
        <v>0.01</v>
      </c>
      <c r="H27" s="24">
        <v>1</v>
      </c>
      <c r="I27" s="21">
        <v>0.01</v>
      </c>
      <c r="K27" s="25"/>
    </row>
  </sheetData>
  <mergeCells count="6">
    <mergeCell ref="H23:I23"/>
    <mergeCell ref="A1:C1"/>
    <mergeCell ref="A23:A24"/>
    <mergeCell ref="D23:E23"/>
    <mergeCell ref="F23:G23"/>
    <mergeCell ref="B23:C23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P35"/>
  <sheetViews>
    <sheetView topLeftCell="A19" workbookViewId="0">
      <selection activeCell="O9" sqref="O9"/>
    </sheetView>
  </sheetViews>
  <sheetFormatPr defaultColWidth="9" defaultRowHeight="15" x14ac:dyDescent="0.25"/>
  <cols>
    <col min="1" max="1" width="12" customWidth="1"/>
    <col min="2" max="2" width="13.140625" bestFit="1" customWidth="1"/>
    <col min="5" max="5" width="12" customWidth="1"/>
    <col min="6" max="7" width="9" customWidth="1"/>
    <col min="8" max="8" width="11.85546875" customWidth="1"/>
    <col min="9" max="18" width="9" customWidth="1"/>
  </cols>
  <sheetData>
    <row r="1" spans="1:16" x14ac:dyDescent="0.25">
      <c r="B1" s="8"/>
      <c r="C1" s="12"/>
      <c r="D1" s="12" t="s">
        <v>182</v>
      </c>
      <c r="E1" s="12" t="s">
        <v>58</v>
      </c>
      <c r="F1" s="12" t="s">
        <v>59</v>
      </c>
      <c r="G1" s="12" t="s">
        <v>60</v>
      </c>
      <c r="H1" s="12" t="s">
        <v>61</v>
      </c>
      <c r="I1" s="12" t="s">
        <v>62</v>
      </c>
      <c r="J1" s="12" t="s">
        <v>63</v>
      </c>
      <c r="K1" s="12" t="s">
        <v>64</v>
      </c>
      <c r="L1" s="12" t="s">
        <v>65</v>
      </c>
      <c r="M1" s="12" t="s">
        <v>66</v>
      </c>
      <c r="N1" s="12" t="s">
        <v>67</v>
      </c>
      <c r="O1" s="12" t="s">
        <v>68</v>
      </c>
      <c r="P1" s="12" t="s">
        <v>69</v>
      </c>
    </row>
    <row r="2" spans="1:16" x14ac:dyDescent="0.25">
      <c r="A2" s="58" t="s">
        <v>70</v>
      </c>
      <c r="B2" s="12" t="s">
        <v>71</v>
      </c>
      <c r="C2" s="26"/>
      <c r="D2" s="26"/>
      <c r="E2" s="26">
        <v>0.34</v>
      </c>
      <c r="F2" s="26">
        <v>0.32</v>
      </c>
      <c r="G2" s="26">
        <v>0.34</v>
      </c>
      <c r="H2" s="26">
        <v>0.32</v>
      </c>
      <c r="I2" s="26">
        <v>0.34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</row>
    <row r="3" spans="1:16" x14ac:dyDescent="0.25">
      <c r="A3" s="58"/>
      <c r="B3" s="12" t="s">
        <v>72</v>
      </c>
      <c r="C3" s="27"/>
      <c r="D3" s="27">
        <f>AVERAGE(E2:P2)</f>
        <v>0.13833333333333334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14"/>
      <c r="P3" s="14"/>
    </row>
    <row r="21" spans="1:13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3" x14ac:dyDescent="0.25">
      <c r="A22" s="49" t="s">
        <v>108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 ht="24" x14ac:dyDescent="0.25">
      <c r="A23" s="15" t="s">
        <v>81</v>
      </c>
      <c r="B23" s="16" t="s">
        <v>168</v>
      </c>
      <c r="C23" s="16" t="s">
        <v>169</v>
      </c>
      <c r="D23" s="16" t="s">
        <v>170</v>
      </c>
      <c r="E23" s="16" t="s">
        <v>179</v>
      </c>
      <c r="F23" s="16" t="s">
        <v>177</v>
      </c>
      <c r="G23" s="16" t="s">
        <v>183</v>
      </c>
      <c r="H23" s="16" t="s">
        <v>178</v>
      </c>
      <c r="I23" s="16"/>
      <c r="J23" s="16"/>
      <c r="K23" s="16"/>
      <c r="L23" s="16" t="s">
        <v>77</v>
      </c>
      <c r="M23" s="16" t="s">
        <v>78</v>
      </c>
    </row>
    <row r="24" spans="1:13" x14ac:dyDescent="0.25">
      <c r="A24" s="17" t="s">
        <v>58</v>
      </c>
      <c r="B24" s="28">
        <v>1</v>
      </c>
      <c r="C24" s="28"/>
      <c r="D24" s="28"/>
      <c r="E24" s="28">
        <v>1</v>
      </c>
      <c r="F24" s="28"/>
      <c r="G24" s="28"/>
      <c r="H24" s="28"/>
      <c r="I24" s="28"/>
      <c r="J24" s="28"/>
      <c r="K24" s="28"/>
      <c r="L24" s="28"/>
      <c r="M24" s="28"/>
    </row>
    <row r="25" spans="1:13" x14ac:dyDescent="0.25">
      <c r="A25" s="17" t="s">
        <v>59</v>
      </c>
      <c r="B25" s="28">
        <v>1</v>
      </c>
      <c r="C25" s="28"/>
      <c r="D25" s="28"/>
      <c r="E25" s="28">
        <v>1</v>
      </c>
      <c r="F25" s="28"/>
      <c r="G25" s="28"/>
      <c r="H25" s="28"/>
      <c r="I25" s="28"/>
      <c r="J25" s="28"/>
      <c r="K25" s="28"/>
      <c r="L25" s="28"/>
      <c r="M25" s="28"/>
    </row>
    <row r="26" spans="1:13" x14ac:dyDescent="0.25">
      <c r="A26" s="17" t="s">
        <v>60</v>
      </c>
      <c r="B26" s="28"/>
      <c r="C26" s="28">
        <v>1</v>
      </c>
      <c r="D26" s="28"/>
      <c r="E26" s="28">
        <v>1</v>
      </c>
      <c r="F26" s="28"/>
      <c r="G26" s="28"/>
      <c r="H26" s="28"/>
      <c r="I26" s="28"/>
      <c r="J26" s="28"/>
      <c r="K26" s="28"/>
      <c r="L26" s="28"/>
      <c r="M26" s="28"/>
    </row>
    <row r="27" spans="1:13" x14ac:dyDescent="0.25">
      <c r="A27" s="17" t="s">
        <v>61</v>
      </c>
      <c r="B27" s="28"/>
      <c r="C27" s="28"/>
      <c r="D27" s="28">
        <v>1</v>
      </c>
      <c r="E27" s="28">
        <v>1</v>
      </c>
      <c r="F27" s="28"/>
      <c r="G27" s="28"/>
      <c r="H27" s="28"/>
      <c r="I27" s="28"/>
      <c r="J27" s="28"/>
      <c r="K27" s="28"/>
      <c r="L27" s="28"/>
      <c r="M27" s="28"/>
    </row>
    <row r="28" spans="1:13" x14ac:dyDescent="0.25">
      <c r="A28" s="17" t="s">
        <v>62</v>
      </c>
      <c r="B28" s="28"/>
      <c r="C28" s="28"/>
      <c r="D28" s="28">
        <v>1</v>
      </c>
      <c r="E28" s="28"/>
      <c r="F28" s="28">
        <v>1</v>
      </c>
      <c r="G28" s="28"/>
      <c r="H28" s="28"/>
      <c r="I28" s="28"/>
      <c r="J28" s="28"/>
      <c r="K28" s="28"/>
      <c r="L28" s="28"/>
      <c r="M28" s="28"/>
    </row>
    <row r="29" spans="1:13" x14ac:dyDescent="0.25">
      <c r="A29" s="17" t="s">
        <v>63</v>
      </c>
      <c r="B29" s="28"/>
      <c r="C29" s="28"/>
      <c r="D29" s="28"/>
      <c r="E29" s="28">
        <v>1</v>
      </c>
      <c r="F29" s="28">
        <v>1</v>
      </c>
      <c r="G29" s="28"/>
      <c r="H29" s="28"/>
      <c r="I29" s="28"/>
      <c r="J29" s="28"/>
      <c r="K29" s="28"/>
      <c r="L29" s="28"/>
      <c r="M29" s="28"/>
    </row>
    <row r="30" spans="1:13" x14ac:dyDescent="0.25">
      <c r="A30" s="17" t="s">
        <v>64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x14ac:dyDescent="0.25">
      <c r="A31" s="17" t="s">
        <v>65</v>
      </c>
      <c r="B31" s="28"/>
      <c r="C31" s="28"/>
      <c r="D31" s="28"/>
      <c r="E31" s="28">
        <v>1</v>
      </c>
      <c r="F31" s="28"/>
      <c r="G31" s="28"/>
      <c r="H31" s="28"/>
      <c r="I31" s="28"/>
      <c r="J31" s="28"/>
      <c r="K31" s="28"/>
      <c r="L31" s="28"/>
      <c r="M31" s="28"/>
    </row>
    <row r="32" spans="1:13" x14ac:dyDescent="0.25">
      <c r="A32" s="17" t="s">
        <v>66</v>
      </c>
      <c r="B32" s="28">
        <v>1</v>
      </c>
      <c r="C32" s="28"/>
      <c r="D32" s="28">
        <v>1</v>
      </c>
      <c r="E32" s="28"/>
      <c r="F32" s="28"/>
      <c r="G32" s="28"/>
      <c r="H32" s="28"/>
      <c r="I32" s="28"/>
      <c r="J32" s="28"/>
      <c r="K32" s="28"/>
      <c r="L32" s="28"/>
      <c r="M32" s="28"/>
    </row>
    <row r="33" spans="1:13" x14ac:dyDescent="0.25">
      <c r="A33" s="17" t="s">
        <v>67</v>
      </c>
      <c r="B33" s="28">
        <v>2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1:13" x14ac:dyDescent="0.25">
      <c r="A34" s="17" t="s">
        <v>68</v>
      </c>
      <c r="B34" s="28"/>
      <c r="C34" s="28"/>
      <c r="D34" s="28"/>
      <c r="E34" s="28"/>
      <c r="F34" s="28">
        <v>2</v>
      </c>
      <c r="G34" s="28"/>
      <c r="H34" s="28"/>
      <c r="I34" s="28"/>
      <c r="J34" s="28"/>
      <c r="K34" s="28"/>
      <c r="L34" s="28"/>
      <c r="M34" s="28"/>
    </row>
    <row r="35" spans="1:13" x14ac:dyDescent="0.25">
      <c r="A35" s="17" t="s">
        <v>69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>
        <v>1</v>
      </c>
    </row>
  </sheetData>
  <mergeCells count="2">
    <mergeCell ref="A2:A3"/>
    <mergeCell ref="A22:M22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D13"/>
  <sheetViews>
    <sheetView workbookViewId="0">
      <selection activeCell="K21" sqref="K21"/>
    </sheetView>
  </sheetViews>
  <sheetFormatPr defaultColWidth="8.85546875" defaultRowHeight="15" outlineLevelRow="1" x14ac:dyDescent="0.25"/>
  <cols>
    <col min="2" max="2" width="8.85546875" style="1"/>
    <col min="3" max="3" width="14.7109375" style="1" bestFit="1" customWidth="1"/>
    <col min="4" max="4" width="11.5703125" style="1" customWidth="1"/>
  </cols>
  <sheetData>
    <row r="1" spans="1:4" x14ac:dyDescent="0.25">
      <c r="A1" s="50" t="s">
        <v>112</v>
      </c>
      <c r="B1" s="50"/>
      <c r="C1" s="50"/>
      <c r="D1" s="50"/>
    </row>
    <row r="2" spans="1:4" x14ac:dyDescent="0.25">
      <c r="A2" s="12" t="s">
        <v>30</v>
      </c>
      <c r="B2" s="12" t="s">
        <v>109</v>
      </c>
      <c r="C2" s="12" t="s">
        <v>110</v>
      </c>
      <c r="D2" s="12" t="s">
        <v>102</v>
      </c>
    </row>
    <row r="3" spans="1:4" x14ac:dyDescent="0.25">
      <c r="A3" s="8" t="s">
        <v>193</v>
      </c>
      <c r="B3" s="8">
        <v>34</v>
      </c>
      <c r="C3" s="8">
        <v>600</v>
      </c>
      <c r="D3" s="35">
        <f>B3/C3</f>
        <v>5.6666666666666664E-2</v>
      </c>
    </row>
    <row r="4" spans="1:4" x14ac:dyDescent="0.25">
      <c r="A4" s="8" t="s">
        <v>206</v>
      </c>
      <c r="B4" s="8">
        <v>11</v>
      </c>
      <c r="C4" s="8">
        <v>586</v>
      </c>
      <c r="D4" s="35">
        <f t="shared" ref="D4:D6" si="0">B4/C4</f>
        <v>1.877133105802048E-2</v>
      </c>
    </row>
    <row r="5" spans="1:4" x14ac:dyDescent="0.25">
      <c r="A5" s="8" t="s">
        <v>211</v>
      </c>
      <c r="B5" s="8">
        <v>2</v>
      </c>
      <c r="C5" s="8">
        <v>386</v>
      </c>
      <c r="D5" s="35">
        <f t="shared" si="0"/>
        <v>5.1813471502590676E-3</v>
      </c>
    </row>
    <row r="6" spans="1:4" x14ac:dyDescent="0.25">
      <c r="A6" s="8" t="s">
        <v>215</v>
      </c>
      <c r="B6" s="8">
        <v>5</v>
      </c>
      <c r="C6" s="8">
        <v>357</v>
      </c>
      <c r="D6" s="35">
        <f t="shared" si="0"/>
        <v>1.4005602240896359E-2</v>
      </c>
    </row>
    <row r="7" spans="1:4" x14ac:dyDescent="0.25">
      <c r="A7" s="8"/>
      <c r="B7" s="8"/>
      <c r="C7" s="8"/>
      <c r="D7" s="21"/>
    </row>
    <row r="8" spans="1:4" outlineLevel="1" x14ac:dyDescent="0.25">
      <c r="A8" s="8"/>
      <c r="B8" s="8"/>
      <c r="C8" s="8"/>
      <c r="D8" s="21"/>
    </row>
    <row r="9" spans="1:4" outlineLevel="1" x14ac:dyDescent="0.25">
      <c r="A9" s="8"/>
      <c r="B9" s="8"/>
      <c r="C9" s="8"/>
      <c r="D9" s="21"/>
    </row>
    <row r="10" spans="1:4" outlineLevel="1" x14ac:dyDescent="0.25">
      <c r="A10" s="8"/>
      <c r="B10" s="8"/>
      <c r="C10" s="8"/>
      <c r="D10" s="21"/>
    </row>
    <row r="11" spans="1:4" outlineLevel="1" x14ac:dyDescent="0.25">
      <c r="A11" s="8"/>
      <c r="B11" s="8"/>
      <c r="C11" s="8"/>
      <c r="D11" s="21"/>
    </row>
    <row r="12" spans="1:4" outlineLevel="1" x14ac:dyDescent="0.25">
      <c r="A12" s="8"/>
      <c r="B12" s="8"/>
      <c r="C12" s="8"/>
      <c r="D12" s="21"/>
    </row>
    <row r="13" spans="1:4" outlineLevel="1" x14ac:dyDescent="0.25">
      <c r="A13" s="8"/>
      <c r="B13" s="8"/>
      <c r="C13" s="8"/>
      <c r="D13" s="21"/>
    </row>
  </sheetData>
  <mergeCells count="1">
    <mergeCell ref="A1:D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O22"/>
  <sheetViews>
    <sheetView workbookViewId="0">
      <selection activeCell="I3" sqref="I3"/>
    </sheetView>
  </sheetViews>
  <sheetFormatPr defaultColWidth="9" defaultRowHeight="15" x14ac:dyDescent="0.25"/>
  <cols>
    <col min="1" max="1" width="13.42578125" customWidth="1"/>
    <col min="2" max="2" width="9" bestFit="1" customWidth="1"/>
    <col min="3" max="3" width="12" customWidth="1"/>
    <col min="6" max="8" width="9" customWidth="1"/>
    <col min="9" max="9" width="9.5703125" customWidth="1"/>
    <col min="10" max="15" width="9" customWidth="1"/>
    <col min="16" max="16" width="7.7109375" customWidth="1"/>
    <col min="17" max="18" width="9" customWidth="1"/>
  </cols>
  <sheetData>
    <row r="1" spans="1:15" x14ac:dyDescent="0.25">
      <c r="A1" s="50" t="s">
        <v>111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x14ac:dyDescent="0.25">
      <c r="A2" s="8"/>
      <c r="B2" s="12"/>
      <c r="C2" s="12" t="s">
        <v>166</v>
      </c>
      <c r="D2" s="12" t="s">
        <v>58</v>
      </c>
      <c r="E2" s="12" t="s">
        <v>59</v>
      </c>
      <c r="F2" s="12" t="s">
        <v>60</v>
      </c>
      <c r="G2" s="12" t="s">
        <v>61</v>
      </c>
      <c r="H2" s="12" t="s">
        <v>62</v>
      </c>
      <c r="I2" s="12" t="s">
        <v>63</v>
      </c>
      <c r="J2" s="12" t="s">
        <v>64</v>
      </c>
      <c r="K2" s="12" t="s">
        <v>65</v>
      </c>
      <c r="L2" s="12" t="s">
        <v>66</v>
      </c>
      <c r="M2" s="12" t="s">
        <v>67</v>
      </c>
      <c r="N2" s="12" t="s">
        <v>68</v>
      </c>
      <c r="O2" s="12" t="s">
        <v>69</v>
      </c>
    </row>
    <row r="3" spans="1:15" x14ac:dyDescent="0.25">
      <c r="A3" s="12" t="s">
        <v>71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2" t="s">
        <v>72</v>
      </c>
      <c r="B4" s="13">
        <v>0</v>
      </c>
      <c r="C4" s="1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22" spans="4:15" x14ac:dyDescent="0.25"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</sheetData>
  <mergeCells count="1">
    <mergeCell ref="A1:O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17"/>
  <sheetViews>
    <sheetView workbookViewId="0">
      <selection activeCell="C18" sqref="C18"/>
    </sheetView>
  </sheetViews>
  <sheetFormatPr defaultColWidth="8.85546875" defaultRowHeight="15" outlineLevelRow="1" x14ac:dyDescent="0.25"/>
  <cols>
    <col min="1" max="1" width="14.28515625" style="1" customWidth="1"/>
    <col min="2" max="4" width="16.7109375" style="1" customWidth="1"/>
  </cols>
  <sheetData>
    <row r="1" spans="1:4" x14ac:dyDescent="0.25">
      <c r="A1" s="59" t="s">
        <v>116</v>
      </c>
      <c r="B1" s="59"/>
      <c r="C1" s="59"/>
      <c r="D1" s="59"/>
    </row>
    <row r="2" spans="1:4" s="2" customFormat="1" ht="29.1" customHeight="1" x14ac:dyDescent="0.25">
      <c r="A2" s="6" t="s">
        <v>30</v>
      </c>
      <c r="B2" s="6" t="s">
        <v>113</v>
      </c>
      <c r="C2" s="6" t="s">
        <v>114</v>
      </c>
      <c r="D2" s="6" t="s">
        <v>115</v>
      </c>
    </row>
    <row r="3" spans="1:4" x14ac:dyDescent="0.25">
      <c r="A3" s="8" t="s">
        <v>184</v>
      </c>
      <c r="B3" s="8">
        <v>60</v>
      </c>
      <c r="C3" s="8">
        <v>55</v>
      </c>
      <c r="D3" s="8">
        <v>36</v>
      </c>
    </row>
    <row r="4" spans="1:4" x14ac:dyDescent="0.25">
      <c r="A4" s="8" t="s">
        <v>185</v>
      </c>
      <c r="B4" s="8">
        <v>45</v>
      </c>
      <c r="C4" s="8">
        <v>40</v>
      </c>
      <c r="D4" s="8">
        <v>35</v>
      </c>
    </row>
    <row r="5" spans="1:4" x14ac:dyDescent="0.25">
      <c r="A5" s="8" t="s">
        <v>186</v>
      </c>
      <c r="B5" s="8">
        <v>15</v>
      </c>
      <c r="C5" s="8">
        <v>9</v>
      </c>
      <c r="D5" s="8">
        <v>5</v>
      </c>
    </row>
    <row r="6" spans="1:4" x14ac:dyDescent="0.25">
      <c r="A6" s="8" t="s">
        <v>187</v>
      </c>
      <c r="B6" s="8">
        <v>80</v>
      </c>
      <c r="C6" s="8">
        <v>55</v>
      </c>
      <c r="D6" s="8">
        <v>35</v>
      </c>
    </row>
    <row r="7" spans="1:4" hidden="1" outlineLevel="1" x14ac:dyDescent="0.25">
      <c r="A7" s="8" t="s">
        <v>158</v>
      </c>
      <c r="B7" s="8"/>
      <c r="C7" s="8"/>
      <c r="D7" s="8"/>
    </row>
    <row r="8" spans="1:4" hidden="1" outlineLevel="1" x14ac:dyDescent="0.25">
      <c r="A8" s="8" t="s">
        <v>159</v>
      </c>
      <c r="B8" s="8"/>
      <c r="C8" s="8"/>
      <c r="D8" s="8"/>
    </row>
    <row r="9" spans="1:4" hidden="1" outlineLevel="1" x14ac:dyDescent="0.25">
      <c r="A9" s="8" t="s">
        <v>160</v>
      </c>
      <c r="B9" s="8"/>
      <c r="C9" s="8"/>
      <c r="D9" s="8"/>
    </row>
    <row r="10" spans="1:4" outlineLevel="1" x14ac:dyDescent="0.25">
      <c r="A10" s="8" t="s">
        <v>203</v>
      </c>
      <c r="B10" s="8">
        <v>30</v>
      </c>
      <c r="C10" s="8">
        <v>25</v>
      </c>
      <c r="D10" s="8">
        <v>17</v>
      </c>
    </row>
    <row r="11" spans="1:4" ht="14.25" customHeight="1" outlineLevel="1" x14ac:dyDescent="0.25">
      <c r="A11" s="8" t="s">
        <v>207</v>
      </c>
      <c r="B11" s="8">
        <v>40</v>
      </c>
      <c r="C11" s="8">
        <v>35</v>
      </c>
      <c r="D11" s="8">
        <v>23</v>
      </c>
    </row>
    <row r="12" spans="1:4" x14ac:dyDescent="0.25">
      <c r="A12" s="8" t="s">
        <v>208</v>
      </c>
      <c r="B12" s="8">
        <v>11</v>
      </c>
      <c r="C12" s="8">
        <v>11</v>
      </c>
      <c r="D12" s="8">
        <v>8</v>
      </c>
    </row>
    <row r="13" spans="1:4" x14ac:dyDescent="0.25">
      <c r="A13" s="8" t="s">
        <v>209</v>
      </c>
      <c r="B13" s="8">
        <v>23</v>
      </c>
      <c r="C13" s="8">
        <v>20</v>
      </c>
      <c r="D13" s="8">
        <v>11</v>
      </c>
    </row>
    <row r="14" spans="1:4" x14ac:dyDescent="0.25">
      <c r="A14" s="8" t="s">
        <v>212</v>
      </c>
      <c r="B14" s="8">
        <v>67</v>
      </c>
      <c r="C14" s="8">
        <v>59</v>
      </c>
      <c r="D14" s="8">
        <v>45</v>
      </c>
    </row>
    <row r="15" spans="1:4" x14ac:dyDescent="0.25">
      <c r="A15" s="8" t="s">
        <v>214</v>
      </c>
      <c r="B15" s="8">
        <v>50</v>
      </c>
      <c r="C15" s="8">
        <v>40</v>
      </c>
      <c r="D15" s="8">
        <v>30</v>
      </c>
    </row>
    <row r="16" spans="1:4" x14ac:dyDescent="0.25">
      <c r="A16" s="8" t="s">
        <v>201</v>
      </c>
      <c r="B16" s="8">
        <v>110</v>
      </c>
      <c r="C16" s="8">
        <v>65</v>
      </c>
      <c r="D16" s="8">
        <v>49</v>
      </c>
    </row>
    <row r="17" spans="1:4" x14ac:dyDescent="0.25">
      <c r="A17" s="8" t="s">
        <v>202</v>
      </c>
      <c r="B17" s="8">
        <v>125</v>
      </c>
      <c r="C17" s="8">
        <v>100</v>
      </c>
      <c r="D17" s="8">
        <v>106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C4"/>
  <sheetViews>
    <sheetView workbookViewId="0">
      <selection activeCell="O19" sqref="O19"/>
    </sheetView>
  </sheetViews>
  <sheetFormatPr defaultColWidth="8.85546875" defaultRowHeight="15" x14ac:dyDescent="0.25"/>
  <cols>
    <col min="2" max="2" width="10.28515625" bestFit="1" customWidth="1"/>
    <col min="3" max="3" width="9.85546875" customWidth="1"/>
  </cols>
  <sheetData>
    <row r="1" spans="1:3" x14ac:dyDescent="0.25">
      <c r="A1" s="50" t="s">
        <v>120</v>
      </c>
      <c r="B1" s="50"/>
      <c r="C1" s="50"/>
    </row>
    <row r="2" spans="1:3" x14ac:dyDescent="0.25">
      <c r="A2" s="30" t="s">
        <v>117</v>
      </c>
      <c r="B2" s="12" t="s">
        <v>100</v>
      </c>
      <c r="C2" s="12" t="s">
        <v>102</v>
      </c>
    </row>
    <row r="3" spans="1:3" ht="33.75" customHeight="1" x14ac:dyDescent="0.25">
      <c r="A3" s="30" t="s">
        <v>118</v>
      </c>
      <c r="B3" s="8">
        <v>361</v>
      </c>
      <c r="C3" s="21">
        <f>B3/(B3+B4)</f>
        <v>0.72929292929292933</v>
      </c>
    </row>
    <row r="4" spans="1:3" ht="37.5" customHeight="1" x14ac:dyDescent="0.25">
      <c r="A4" s="30" t="s">
        <v>119</v>
      </c>
      <c r="B4" s="8">
        <v>134</v>
      </c>
      <c r="C4" s="21">
        <f>B4/(B3+B4)</f>
        <v>0.27070707070707073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K31"/>
  <sheetViews>
    <sheetView workbookViewId="0">
      <selection activeCell="L25" sqref="L25"/>
    </sheetView>
  </sheetViews>
  <sheetFormatPr defaultColWidth="8.85546875" defaultRowHeight="15" x14ac:dyDescent="0.25"/>
  <cols>
    <col min="1" max="1" width="22.7109375" bestFit="1" customWidth="1"/>
    <col min="2" max="3" width="9.42578125" customWidth="1"/>
    <col min="4" max="4" width="13.140625" customWidth="1"/>
    <col min="5" max="8" width="9.42578125" customWidth="1"/>
  </cols>
  <sheetData>
    <row r="1" spans="1:4" x14ac:dyDescent="0.25">
      <c r="A1" s="50" t="s">
        <v>127</v>
      </c>
      <c r="B1" s="50"/>
      <c r="C1" s="50"/>
      <c r="D1" s="50"/>
    </row>
    <row r="2" spans="1:4" s="4" customFormat="1" ht="30" x14ac:dyDescent="0.25">
      <c r="A2" s="6" t="s">
        <v>30</v>
      </c>
      <c r="B2" s="6" t="s">
        <v>128</v>
      </c>
      <c r="C2" s="6" t="s">
        <v>110</v>
      </c>
      <c r="D2" s="6" t="s">
        <v>127</v>
      </c>
    </row>
    <row r="3" spans="1:4" x14ac:dyDescent="0.25">
      <c r="A3" s="8" t="s">
        <v>194</v>
      </c>
      <c r="B3" s="1">
        <v>15100</v>
      </c>
      <c r="C3" s="32">
        <v>591</v>
      </c>
      <c r="D3" s="33">
        <f>B3/C3</f>
        <v>25.549915397631132</v>
      </c>
    </row>
    <row r="4" spans="1:4" x14ac:dyDescent="0.25">
      <c r="A4" s="8" t="s">
        <v>195</v>
      </c>
      <c r="B4" s="8">
        <v>16170</v>
      </c>
      <c r="C4" s="32">
        <v>608</v>
      </c>
      <c r="D4" s="33">
        <f t="shared" ref="D4:D7" si="0">B4/C4</f>
        <v>26.595394736842106</v>
      </c>
    </row>
    <row r="5" spans="1:4" x14ac:dyDescent="0.25">
      <c r="A5" s="8" t="s">
        <v>196</v>
      </c>
      <c r="B5" s="8">
        <v>16250</v>
      </c>
      <c r="C5" s="8">
        <v>586</v>
      </c>
      <c r="D5" s="33">
        <f>B5/C5</f>
        <v>27.730375426621162</v>
      </c>
    </row>
    <row r="6" spans="1:4" x14ac:dyDescent="0.25">
      <c r="A6" s="8" t="s">
        <v>197</v>
      </c>
      <c r="B6" s="8">
        <v>10445</v>
      </c>
      <c r="C6" s="8">
        <v>335</v>
      </c>
      <c r="D6" s="33">
        <f t="shared" si="0"/>
        <v>31.17910447761194</v>
      </c>
    </row>
    <row r="7" spans="1:4" x14ac:dyDescent="0.25">
      <c r="A7" s="8" t="s">
        <v>198</v>
      </c>
      <c r="B7" s="8">
        <v>11497</v>
      </c>
      <c r="C7" s="8">
        <v>378</v>
      </c>
      <c r="D7" s="33">
        <f t="shared" si="0"/>
        <v>30.415343915343914</v>
      </c>
    </row>
    <row r="8" spans="1:4" x14ac:dyDescent="0.25">
      <c r="A8" s="8" t="s">
        <v>199</v>
      </c>
      <c r="B8" s="8">
        <v>11101.5</v>
      </c>
      <c r="C8" s="8">
        <v>386</v>
      </c>
      <c r="D8" s="33">
        <f>B8/C8</f>
        <v>28.760362694300518</v>
      </c>
    </row>
    <row r="9" spans="1:4" x14ac:dyDescent="0.25">
      <c r="A9" s="8" t="s">
        <v>200</v>
      </c>
      <c r="B9" s="8">
        <v>12287.616</v>
      </c>
      <c r="C9" s="8">
        <v>348</v>
      </c>
      <c r="D9" s="33">
        <f>B9/C9</f>
        <v>35.309241379310343</v>
      </c>
    </row>
    <row r="10" spans="1:4" x14ac:dyDescent="0.25">
      <c r="A10" s="8" t="s">
        <v>201</v>
      </c>
      <c r="B10" s="8">
        <v>11168.54</v>
      </c>
      <c r="C10" s="8">
        <v>359</v>
      </c>
      <c r="D10" s="31">
        <f>B10/C10</f>
        <v>31.11013927576602</v>
      </c>
    </row>
    <row r="11" spans="1:4" x14ac:dyDescent="0.25">
      <c r="A11" s="8" t="s">
        <v>202</v>
      </c>
      <c r="B11" s="8">
        <v>10968.44</v>
      </c>
      <c r="C11" s="8">
        <v>428</v>
      </c>
      <c r="D11" s="31">
        <f>B11/C11</f>
        <v>25.627196261682244</v>
      </c>
    </row>
    <row r="12" spans="1:4" x14ac:dyDescent="0.25">
      <c r="A12" s="8"/>
      <c r="B12" s="8"/>
      <c r="C12" s="8"/>
      <c r="D12" s="31"/>
    </row>
    <row r="27" spans="1:11" x14ac:dyDescent="0.25">
      <c r="A27" s="19"/>
      <c r="B27" s="19"/>
      <c r="C27" s="19"/>
      <c r="D27" s="19"/>
      <c r="E27" s="19"/>
      <c r="F27" s="19"/>
      <c r="G27" s="19"/>
    </row>
    <row r="28" spans="1:11" x14ac:dyDescent="0.25">
      <c r="B28" s="53" t="s">
        <v>121</v>
      </c>
      <c r="C28" s="53"/>
      <c r="D28" s="53"/>
      <c r="E28" s="53"/>
      <c r="F28" s="53"/>
      <c r="G28" s="53"/>
    </row>
    <row r="29" spans="1:11" x14ac:dyDescent="0.25">
      <c r="B29" s="12" t="s">
        <v>122</v>
      </c>
      <c r="C29" s="12" t="s">
        <v>123</v>
      </c>
      <c r="D29" s="12" t="s">
        <v>124</v>
      </c>
      <c r="E29" s="12" t="s">
        <v>125</v>
      </c>
      <c r="F29" s="12" t="s">
        <v>126</v>
      </c>
      <c r="G29" s="12" t="s">
        <v>129</v>
      </c>
    </row>
    <row r="30" spans="1:11" x14ac:dyDescent="0.25">
      <c r="A30" s="30" t="s">
        <v>110</v>
      </c>
      <c r="B30" s="8">
        <v>173</v>
      </c>
      <c r="C30" s="8">
        <v>90</v>
      </c>
      <c r="D30" s="8">
        <v>67</v>
      </c>
      <c r="E30" s="8">
        <v>32</v>
      </c>
      <c r="F30" s="8">
        <v>13</v>
      </c>
      <c r="G30" s="8">
        <v>53</v>
      </c>
      <c r="J30" s="1"/>
      <c r="K30" s="1"/>
    </row>
    <row r="31" spans="1:11" x14ac:dyDescent="0.25">
      <c r="A31" s="30" t="s">
        <v>102</v>
      </c>
      <c r="B31" s="14">
        <f>B30/SUM($B$30:$G$30)</f>
        <v>0.40420560747663553</v>
      </c>
      <c r="C31" s="14">
        <f t="shared" ref="C31:G31" si="1">C30/SUM($B$30:$G$30)</f>
        <v>0.2102803738317757</v>
      </c>
      <c r="D31" s="14">
        <f t="shared" si="1"/>
        <v>0.15654205607476634</v>
      </c>
      <c r="E31" s="14">
        <f t="shared" si="1"/>
        <v>7.476635514018691E-2</v>
      </c>
      <c r="F31" s="14">
        <f t="shared" si="1"/>
        <v>3.0373831775700934E-2</v>
      </c>
      <c r="G31" s="14">
        <f t="shared" si="1"/>
        <v>0.12383177570093458</v>
      </c>
      <c r="H31" s="43"/>
    </row>
  </sheetData>
  <mergeCells count="2">
    <mergeCell ref="B28:G28"/>
    <mergeCell ref="A1:D1"/>
  </mergeCells>
  <phoneticPr fontId="10" type="noConversion"/>
  <pageMargins left="0.7" right="0.7" top="0.75" bottom="0.75" header="0.3" footer="0.3"/>
  <pageSetup paperSize="9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C9"/>
  <sheetViews>
    <sheetView workbookViewId="0">
      <selection activeCell="K6" sqref="K6"/>
    </sheetView>
  </sheetViews>
  <sheetFormatPr defaultColWidth="8.85546875" defaultRowHeight="15" x14ac:dyDescent="0.25"/>
  <cols>
    <col min="1" max="1" width="21.42578125" bestFit="1" customWidth="1"/>
    <col min="2" max="2" width="10.42578125" style="1" customWidth="1"/>
  </cols>
  <sheetData>
    <row r="1" spans="1:3" x14ac:dyDescent="0.25">
      <c r="A1" s="50" t="s">
        <v>137</v>
      </c>
      <c r="B1" s="50"/>
      <c r="C1" s="50"/>
    </row>
    <row r="2" spans="1:3" x14ac:dyDescent="0.25">
      <c r="A2" s="30" t="s">
        <v>131</v>
      </c>
      <c r="B2" s="12" t="s">
        <v>100</v>
      </c>
      <c r="C2" s="12" t="s">
        <v>102</v>
      </c>
    </row>
    <row r="3" spans="1:3" x14ac:dyDescent="0.25">
      <c r="A3" s="7" t="s">
        <v>132</v>
      </c>
      <c r="B3" s="8">
        <v>62</v>
      </c>
      <c r="C3" s="21">
        <f>B3/SUM($B$3:$B$7)</f>
        <v>0.14485981308411214</v>
      </c>
    </row>
    <row r="4" spans="1:3" x14ac:dyDescent="0.25">
      <c r="A4" s="7" t="s">
        <v>133</v>
      </c>
      <c r="B4" s="8">
        <v>73</v>
      </c>
      <c r="C4" s="21">
        <f>B4/SUM($B$3:$B$7)</f>
        <v>0.17056074766355139</v>
      </c>
    </row>
    <row r="5" spans="1:3" x14ac:dyDescent="0.25">
      <c r="A5" s="7" t="s">
        <v>134</v>
      </c>
      <c r="B5" s="8">
        <v>208</v>
      </c>
      <c r="C5" s="21">
        <f>B5/SUM($B$3:$B$7)</f>
        <v>0.48598130841121495</v>
      </c>
    </row>
    <row r="6" spans="1:3" x14ac:dyDescent="0.25">
      <c r="A6" s="7" t="s">
        <v>135</v>
      </c>
      <c r="B6" s="8">
        <v>35</v>
      </c>
      <c r="C6" s="21">
        <f>B6/SUM($B$3:$B$7)</f>
        <v>8.1775700934579434E-2</v>
      </c>
    </row>
    <row r="7" spans="1:3" x14ac:dyDescent="0.25">
      <c r="A7" s="7" t="s">
        <v>136</v>
      </c>
      <c r="B7" s="8">
        <v>50</v>
      </c>
      <c r="C7" s="21">
        <f>B7/SUM($B$3:$B$7)</f>
        <v>0.11682242990654206</v>
      </c>
    </row>
    <row r="8" spans="1:3" x14ac:dyDescent="0.25">
      <c r="C8" s="44"/>
    </row>
    <row r="9" spans="1:3" x14ac:dyDescent="0.25">
      <c r="B9" s="1">
        <f>SUM(B4:B7)</f>
        <v>366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B8"/>
  <sheetViews>
    <sheetView workbookViewId="0">
      <selection activeCell="E6" sqref="E6"/>
    </sheetView>
  </sheetViews>
  <sheetFormatPr defaultColWidth="8.85546875" defaultRowHeight="15" x14ac:dyDescent="0.25"/>
  <cols>
    <col min="1" max="1" width="30" customWidth="1"/>
    <col min="2" max="2" width="12.42578125" style="1" customWidth="1"/>
  </cols>
  <sheetData>
    <row r="1" spans="1:2" x14ac:dyDescent="0.25">
      <c r="A1" s="60" t="s">
        <v>145</v>
      </c>
      <c r="B1" s="60"/>
    </row>
    <row r="2" spans="1:2" x14ac:dyDescent="0.25">
      <c r="A2" s="12" t="s">
        <v>138</v>
      </c>
      <c r="B2" s="12" t="s">
        <v>100</v>
      </c>
    </row>
    <row r="3" spans="1:2" x14ac:dyDescent="0.25">
      <c r="A3" s="7" t="s">
        <v>143</v>
      </c>
      <c r="B3" s="8">
        <v>0</v>
      </c>
    </row>
    <row r="4" spans="1:2" x14ac:dyDescent="0.25">
      <c r="A4" s="7" t="s">
        <v>139</v>
      </c>
      <c r="B4" s="8">
        <v>3</v>
      </c>
    </row>
    <row r="5" spans="1:2" x14ac:dyDescent="0.25">
      <c r="A5" s="7" t="s">
        <v>140</v>
      </c>
      <c r="B5" s="8">
        <v>3</v>
      </c>
    </row>
    <row r="6" spans="1:2" x14ac:dyDescent="0.25">
      <c r="A6" s="7" t="s">
        <v>144</v>
      </c>
      <c r="B6" s="8">
        <v>1</v>
      </c>
    </row>
    <row r="7" spans="1:2" x14ac:dyDescent="0.25">
      <c r="A7" s="7" t="s">
        <v>142</v>
      </c>
      <c r="B7" s="8">
        <v>50</v>
      </c>
    </row>
    <row r="8" spans="1:2" x14ac:dyDescent="0.25">
      <c r="A8" s="7" t="s">
        <v>141</v>
      </c>
      <c r="B8" s="8">
        <v>6</v>
      </c>
    </row>
  </sheetData>
  <mergeCells count="1">
    <mergeCell ref="A1:B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O22"/>
  <sheetViews>
    <sheetView workbookViewId="0">
      <selection activeCell="P15" sqref="P15"/>
    </sheetView>
  </sheetViews>
  <sheetFormatPr defaultColWidth="9" defaultRowHeight="15" x14ac:dyDescent="0.25"/>
  <cols>
    <col min="1" max="1" width="13.42578125" customWidth="1"/>
    <col min="2" max="2" width="9" bestFit="1" customWidth="1"/>
    <col min="6" max="15" width="9" customWidth="1"/>
    <col min="16" max="16" width="7.7109375" customWidth="1"/>
    <col min="17" max="18" width="9" customWidth="1"/>
  </cols>
  <sheetData>
    <row r="1" spans="1:15" x14ac:dyDescent="0.25">
      <c r="A1" s="50" t="s">
        <v>154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x14ac:dyDescent="0.25">
      <c r="A2" s="8"/>
      <c r="B2" s="12">
        <v>2024</v>
      </c>
      <c r="C2" s="12" t="s">
        <v>166</v>
      </c>
      <c r="D2" s="12" t="s">
        <v>58</v>
      </c>
      <c r="E2" s="12" t="s">
        <v>59</v>
      </c>
      <c r="F2" s="12" t="s">
        <v>60</v>
      </c>
      <c r="G2" s="12" t="s">
        <v>61</v>
      </c>
      <c r="H2" s="12" t="s">
        <v>62</v>
      </c>
      <c r="I2" s="12" t="s">
        <v>63</v>
      </c>
      <c r="J2" s="12" t="s">
        <v>64</v>
      </c>
      <c r="K2" s="12" t="s">
        <v>65</v>
      </c>
      <c r="L2" s="12" t="s">
        <v>66</v>
      </c>
      <c r="M2" s="12" t="s">
        <v>67</v>
      </c>
      <c r="N2" s="12" t="s">
        <v>68</v>
      </c>
      <c r="O2" s="12" t="s">
        <v>69</v>
      </c>
    </row>
    <row r="3" spans="1:15" x14ac:dyDescent="0.25">
      <c r="A3" s="12" t="s">
        <v>71</v>
      </c>
      <c r="B3" s="13"/>
      <c r="C3" s="14"/>
      <c r="D3" s="14">
        <v>0.61319999999999997</v>
      </c>
      <c r="E3" s="14">
        <v>0.61539999999999995</v>
      </c>
      <c r="F3" s="14">
        <v>0.61299999999999999</v>
      </c>
      <c r="G3" s="14">
        <v>0.62160000000000004</v>
      </c>
      <c r="H3" s="14">
        <v>0.60399999999999998</v>
      </c>
      <c r="I3" s="14">
        <v>0.59799999999999998</v>
      </c>
      <c r="J3" s="14">
        <v>0.64229999999999998</v>
      </c>
      <c r="K3" s="14">
        <v>0.88729999999999998</v>
      </c>
      <c r="L3" s="14">
        <v>0.89880000000000004</v>
      </c>
      <c r="M3" s="14">
        <v>8.3999999999999995E-3</v>
      </c>
      <c r="N3" s="14">
        <v>8.8000000000000005E-3</v>
      </c>
      <c r="O3" s="14">
        <v>9.1000000000000004E-3</v>
      </c>
    </row>
    <row r="4" spans="1:15" x14ac:dyDescent="0.25">
      <c r="A4" s="12" t="s">
        <v>72</v>
      </c>
      <c r="B4" s="13"/>
      <c r="C4" s="14">
        <f>(D3+E3+F3+G3+H3+I3+J3+K3+L3+M3+N3+O3)/12</f>
        <v>0.50999166666666673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22" spans="4:15" x14ac:dyDescent="0.25"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</sheetData>
  <mergeCells count="1">
    <mergeCell ref="A1:O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G14"/>
  <sheetViews>
    <sheetView workbookViewId="0">
      <selection activeCell="K8" sqref="K8"/>
    </sheetView>
  </sheetViews>
  <sheetFormatPr defaultColWidth="8.85546875" defaultRowHeight="15" outlineLevelRow="1" x14ac:dyDescent="0.25"/>
  <cols>
    <col min="1" max="1" width="16.140625" style="1" customWidth="1"/>
    <col min="2" max="3" width="16.7109375" style="1" customWidth="1"/>
    <col min="7" max="7" width="11.85546875" customWidth="1"/>
    <col min="8" max="8" width="14.85546875" customWidth="1"/>
    <col min="9" max="9" width="17.5703125" customWidth="1"/>
  </cols>
  <sheetData>
    <row r="1" spans="1:7" x14ac:dyDescent="0.25">
      <c r="A1" s="59" t="s">
        <v>155</v>
      </c>
      <c r="B1" s="59"/>
      <c r="C1" s="59"/>
    </row>
    <row r="2" spans="1:7" s="2" customFormat="1" ht="15" customHeight="1" x14ac:dyDescent="0.25">
      <c r="A2" s="6" t="s">
        <v>30</v>
      </c>
      <c r="B2" s="6" t="s">
        <v>156</v>
      </c>
      <c r="C2" s="6" t="s">
        <v>157</v>
      </c>
    </row>
    <row r="3" spans="1:7" ht="20.100000000000001" customHeight="1" x14ac:dyDescent="0.25">
      <c r="A3" s="8" t="s">
        <v>184</v>
      </c>
      <c r="B3" s="8">
        <v>93.34</v>
      </c>
      <c r="C3" s="8">
        <v>6.66</v>
      </c>
    </row>
    <row r="4" spans="1:7" ht="20.100000000000001" customHeight="1" x14ac:dyDescent="0.25">
      <c r="A4" s="8" t="s">
        <v>185</v>
      </c>
      <c r="B4" s="8">
        <v>93.3</v>
      </c>
      <c r="C4" s="8">
        <v>6.7</v>
      </c>
    </row>
    <row r="5" spans="1:7" ht="20.100000000000001" customHeight="1" x14ac:dyDescent="0.25">
      <c r="A5" s="8" t="s">
        <v>186</v>
      </c>
      <c r="B5" s="8">
        <v>92.9</v>
      </c>
      <c r="C5" s="8">
        <v>7.1</v>
      </c>
    </row>
    <row r="6" spans="1:7" ht="20.100000000000001" customHeight="1" x14ac:dyDescent="0.25">
      <c r="A6" s="8" t="s">
        <v>187</v>
      </c>
      <c r="B6" s="8">
        <v>90.96</v>
      </c>
      <c r="C6" s="8">
        <v>9.0299999999999994</v>
      </c>
      <c r="F6" t="s">
        <v>161</v>
      </c>
    </row>
    <row r="7" spans="1:7" ht="20.100000000000001" customHeight="1" outlineLevel="1" x14ac:dyDescent="0.25">
      <c r="A7" s="8" t="s">
        <v>203</v>
      </c>
      <c r="B7" s="8">
        <v>90.78</v>
      </c>
      <c r="C7" s="8">
        <v>9.0299999999999994</v>
      </c>
      <c r="G7" t="s">
        <v>161</v>
      </c>
    </row>
    <row r="8" spans="1:7" ht="20.100000000000001" customHeight="1" outlineLevel="1" x14ac:dyDescent="0.25">
      <c r="A8" s="8" t="s">
        <v>207</v>
      </c>
      <c r="B8" s="8">
        <v>89.76</v>
      </c>
      <c r="C8" s="8">
        <v>10.23</v>
      </c>
    </row>
    <row r="9" spans="1:7" ht="20.100000000000001" customHeight="1" outlineLevel="1" x14ac:dyDescent="0.25">
      <c r="A9" s="8" t="s">
        <v>208</v>
      </c>
      <c r="B9" s="8">
        <v>87.16</v>
      </c>
      <c r="C9" s="8">
        <v>12.83</v>
      </c>
    </row>
    <row r="10" spans="1:7" ht="20.100000000000001" customHeight="1" outlineLevel="1" x14ac:dyDescent="0.25">
      <c r="A10" s="8" t="s">
        <v>210</v>
      </c>
      <c r="B10" s="8">
        <v>85.71</v>
      </c>
      <c r="C10" s="8">
        <v>14.5</v>
      </c>
    </row>
    <row r="11" spans="1:7" ht="20.100000000000001" customHeight="1" outlineLevel="1" x14ac:dyDescent="0.25">
      <c r="A11" s="8" t="s">
        <v>213</v>
      </c>
      <c r="B11" s="8">
        <v>88.08</v>
      </c>
      <c r="C11" s="8">
        <v>11.91</v>
      </c>
    </row>
    <row r="12" spans="1:7" ht="20.100000000000001" customHeight="1" x14ac:dyDescent="0.25">
      <c r="A12" s="8" t="s">
        <v>214</v>
      </c>
      <c r="B12" s="8">
        <v>94.47</v>
      </c>
      <c r="C12" s="8">
        <v>5.52</v>
      </c>
    </row>
    <row r="13" spans="1:7" x14ac:dyDescent="0.25">
      <c r="A13" s="8" t="s">
        <v>216</v>
      </c>
      <c r="B13" s="8">
        <v>92.4</v>
      </c>
      <c r="C13" s="8">
        <v>4.5199999999999996</v>
      </c>
    </row>
    <row r="14" spans="1:7" x14ac:dyDescent="0.25">
      <c r="A14" s="8" t="s">
        <v>217</v>
      </c>
      <c r="B14" s="8">
        <v>93.62</v>
      </c>
      <c r="C14" s="8">
        <v>4.9000000000000004</v>
      </c>
    </row>
  </sheetData>
  <mergeCells count="1">
    <mergeCell ref="A1:C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16</vt:i4>
      </vt:variant>
      <vt:variant>
        <vt:lpstr>Adlandırılmış Aralıklar</vt:lpstr>
      </vt:variant>
      <vt:variant>
        <vt:i4>1</vt:i4>
      </vt:variant>
    </vt:vector>
  </HeadingPairs>
  <TitlesOfParts>
    <vt:vector size="17" baseType="lpstr">
      <vt:lpstr>Tanım</vt:lpstr>
      <vt:lpstr>Rapor</vt:lpstr>
      <vt:lpstr>Personel Sirkülasyon Oranı</vt:lpstr>
      <vt:lpstr>Devamsızlık Oranı</vt:lpstr>
      <vt:lpstr>Fazla Mesai Oranı</vt:lpstr>
      <vt:lpstr>Eğitim Adam Saat</vt:lpstr>
      <vt:lpstr>İş Kazası Adedi</vt:lpstr>
      <vt:lpstr>İç Terfi Oranı</vt:lpstr>
      <vt:lpstr>Boş Kadro Doldurma Oranı</vt:lpstr>
      <vt:lpstr>Görüşme, İşe Alım Adedi</vt:lpstr>
      <vt:lpstr>Cinsiyet Dağılımı</vt:lpstr>
      <vt:lpstr>Kurum Yaş Ortalaması</vt:lpstr>
      <vt:lpstr>Kurum Eğitim Durumu</vt:lpstr>
      <vt:lpstr>Entelektüel Kap. Raporu</vt:lpstr>
      <vt:lpstr>Servis Doluluk Oranı</vt:lpstr>
      <vt:lpstr>Direk Endirek Personel Oranı</vt:lpstr>
      <vt:lpstr>Tanım!Yazdırma_Alanı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UMUT ÇELİKOĞLU</cp:lastModifiedBy>
  <cp:lastPrinted>2017-01-25T09:41:17Z</cp:lastPrinted>
  <dcterms:created xsi:type="dcterms:W3CDTF">2016-07-13T05:18:04Z</dcterms:created>
  <dcterms:modified xsi:type="dcterms:W3CDTF">2026-02-19T12:31:43Z</dcterms:modified>
</cp:coreProperties>
</file>